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ginal_Dataset" sheetId="1" state="visible" r:id="rId3"/>
    <sheet name="Cleaned_Prepared_Data" sheetId="2" state="visible" r:id="rId4"/>
    <sheet name="Dummy_Variables" sheetId="3" state="visible" r:id="rId5"/>
    <sheet name="Simple_Regression" sheetId="4" state="visible" r:id="rId6"/>
    <sheet name="Multiple_Regression" sheetId="5" state="visible" r:id="rId7"/>
    <sheet name="Prediction_Residuals" sheetId="6" state="visible" r:id="rId8"/>
    <sheet name="Model_Comparis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<sst xmlns="http://schemas.openxmlformats.org/spreadsheetml/2006/main" count="2059" uniqueCount="188">
  <si>
    <t xml:space="preserve">Original Dataset (unmodified, as supplied)</t>
  </si>
  <si>
    <t xml:space="preserve">store_id</t>
  </si>
  <si>
    <t xml:space="preserve">month</t>
  </si>
  <si>
    <t xml:space="preserve">region</t>
  </si>
  <si>
    <t xml:space="preserve">store_type</t>
  </si>
  <si>
    <t xml:space="preserve">marketing_spend</t>
  </si>
  <si>
    <t xml:space="preserve">footfall</t>
  </si>
  <si>
    <t xml:space="preserve">avg_discount_pct</t>
  </si>
  <si>
    <t xml:space="preserve">staff_count</t>
  </si>
  <si>
    <t xml:space="preserve">inventory_availability_pct</t>
  </si>
  <si>
    <t xml:space="preserve">competitor_distance_km</t>
  </si>
  <si>
    <t xml:space="preserve">holiday_flag</t>
  </si>
  <si>
    <t xml:space="preserve">customer_rating</t>
  </si>
  <si>
    <t xml:space="preserve">monthly_sales</t>
  </si>
  <si>
    <t xml:space="preserve">monthly_profit</t>
  </si>
  <si>
    <t xml:space="preserve">STR-1001</t>
  </si>
  <si>
    <t xml:space="preserve">East</t>
  </si>
  <si>
    <t xml:space="preserve">Residential</t>
  </si>
  <si>
    <t xml:space="preserve">STR-1002</t>
  </si>
  <si>
    <t xml:space="preserve">High Street</t>
  </si>
  <si>
    <t xml:space="preserve">STR-1003</t>
  </si>
  <si>
    <t xml:space="preserve">North</t>
  </si>
  <si>
    <t xml:space="preserve">Airport</t>
  </si>
  <si>
    <t xml:space="preserve">STR-1004</t>
  </si>
  <si>
    <t xml:space="preserve">STR-1005</t>
  </si>
  <si>
    <t xml:space="preserve">South</t>
  </si>
  <si>
    <t xml:space="preserve">STR-1006</t>
  </si>
  <si>
    <t xml:space="preserve">STR-1007</t>
  </si>
  <si>
    <t xml:space="preserve">West</t>
  </si>
  <si>
    <t xml:space="preserve">Mall</t>
  </si>
  <si>
    <t xml:space="preserve">STR-1008</t>
  </si>
  <si>
    <t xml:space="preserve">STR-1009</t>
  </si>
  <si>
    <t xml:space="preserve">STR-1010</t>
  </si>
  <si>
    <t xml:space="preserve">STR-1011</t>
  </si>
  <si>
    <t xml:space="preserve">STR-1012</t>
  </si>
  <si>
    <t xml:space="preserve">STR-1013</t>
  </si>
  <si>
    <t xml:space="preserve">STR-1014</t>
  </si>
  <si>
    <t xml:space="preserve">STR-1015</t>
  </si>
  <si>
    <t xml:space="preserve">STR-1016</t>
  </si>
  <si>
    <t xml:space="preserve">STR-1017</t>
  </si>
  <si>
    <t xml:space="preserve">STR-1018</t>
  </si>
  <si>
    <t xml:space="preserve">STR-1019</t>
  </si>
  <si>
    <t xml:space="preserve">STR-1020</t>
  </si>
  <si>
    <t xml:space="preserve">STR-1021</t>
  </si>
  <si>
    <t xml:space="preserve">STR-1022</t>
  </si>
  <si>
    <t xml:space="preserve">STR-1023</t>
  </si>
  <si>
    <t xml:space="preserve">STR-1024</t>
  </si>
  <si>
    <t xml:space="preserve">STR-1025</t>
  </si>
  <si>
    <t xml:space="preserve">STR-1026</t>
  </si>
  <si>
    <t xml:space="preserve">STR-1027</t>
  </si>
  <si>
    <t xml:space="preserve">STR-1028</t>
  </si>
  <si>
    <t xml:space="preserve">STR-1029</t>
  </si>
  <si>
    <t xml:space="preserve">STR-1030</t>
  </si>
  <si>
    <t xml:space="preserve">STR-1031</t>
  </si>
  <si>
    <t xml:space="preserve">STR-1032</t>
  </si>
  <si>
    <t xml:space="preserve">STR-1033</t>
  </si>
  <si>
    <t xml:space="preserve">STR-1034</t>
  </si>
  <si>
    <t xml:space="preserve">STR-1035</t>
  </si>
  <si>
    <t xml:space="preserve">STR-1036</t>
  </si>
  <si>
    <t xml:space="preserve">STR-1037</t>
  </si>
  <si>
    <t xml:space="preserve">STR-1038</t>
  </si>
  <si>
    <t xml:space="preserve">STR-1039</t>
  </si>
  <si>
    <t xml:space="preserve">STR-1040</t>
  </si>
  <si>
    <t xml:space="preserve">STR-1041</t>
  </si>
  <si>
    <t xml:space="preserve">STR-1042</t>
  </si>
  <si>
    <t xml:space="preserve">STR-1043</t>
  </si>
  <si>
    <t xml:space="preserve">STR-1044</t>
  </si>
  <si>
    <t xml:space="preserve">STR-1045</t>
  </si>
  <si>
    <t xml:space="preserve">STR-1046</t>
  </si>
  <si>
    <t xml:space="preserve">STR-1047</t>
  </si>
  <si>
    <t xml:space="preserve">STR-1048</t>
  </si>
  <si>
    <t xml:space="preserve">STR-1049</t>
  </si>
  <si>
    <t xml:space="preserve">STR-1050</t>
  </si>
  <si>
    <t xml:space="preserve">STR-1051</t>
  </si>
  <si>
    <t xml:space="preserve">STR-1052</t>
  </si>
  <si>
    <t xml:space="preserve">STR-1053</t>
  </si>
  <si>
    <t xml:space="preserve">STR-1054</t>
  </si>
  <si>
    <t xml:space="preserve">STR-1055</t>
  </si>
  <si>
    <t xml:space="preserve">STR-1056</t>
  </si>
  <si>
    <t xml:space="preserve">STR-1057</t>
  </si>
  <si>
    <t xml:space="preserve">STR-1058</t>
  </si>
  <si>
    <t xml:space="preserve">STR-1059</t>
  </si>
  <si>
    <t xml:space="preserve">STR-1060</t>
  </si>
  <si>
    <t xml:space="preserve">STR-1061</t>
  </si>
  <si>
    <t xml:space="preserve">STR-1062</t>
  </si>
  <si>
    <t xml:space="preserve">STR-1063</t>
  </si>
  <si>
    <t xml:space="preserve">STR-1064</t>
  </si>
  <si>
    <t xml:space="preserve">STR-1065</t>
  </si>
  <si>
    <t xml:space="preserve">STR-1066</t>
  </si>
  <si>
    <t xml:space="preserve">STR-1067</t>
  </si>
  <si>
    <t xml:space="preserve">STR-1068</t>
  </si>
  <si>
    <t xml:space="preserve">STR-1069</t>
  </si>
  <si>
    <t xml:space="preserve">STR-1070</t>
  </si>
  <si>
    <t xml:space="preserve">STR-1071</t>
  </si>
  <si>
    <t xml:space="preserve">STR-1072</t>
  </si>
  <si>
    <t xml:space="preserve">STR-1073</t>
  </si>
  <si>
    <t xml:space="preserve">STR-1074</t>
  </si>
  <si>
    <t xml:space="preserve">STR-1075</t>
  </si>
  <si>
    <t xml:space="preserve">STR-1076</t>
  </si>
  <si>
    <t xml:space="preserve">STR-1077</t>
  </si>
  <si>
    <t xml:space="preserve">STR-1078</t>
  </si>
  <si>
    <t xml:space="preserve">STR-1079</t>
  </si>
  <si>
    <t xml:space="preserve">STR-1080</t>
  </si>
  <si>
    <t xml:space="preserve">Cleaned &amp; Prepared Data</t>
  </si>
  <si>
    <t xml:space="preserve">Rows with missing competitor_distance_km or customer_rating removed (listwise deletion). monthly_profit retained for reference only — excluded from regression as it is an outcome of sales, not a driver. store_id and month retained as identifiers only.</t>
  </si>
  <si>
    <t xml:space="preserve">Original rows:</t>
  </si>
  <si>
    <t xml:space="preserve">Cleaned rows (used in models):</t>
  </si>
  <si>
    <t xml:space="preserve">Rows dropped (missing data):</t>
  </si>
  <si>
    <t xml:space="preserve">Dummy Variable Creation — store_type</t>
  </si>
  <si>
    <t xml:space="preserve">Reference category = "High Street" (most frequent store type). Three dummy columns created: Airport, Mall, Residential. When all three = 0, the record is High Street. This avoids the dummy variable trap (perfect multicollinearity from including all 4 categories).</t>
  </si>
  <si>
    <t xml:space="preserve">Dummy variable check (counts):</t>
  </si>
  <si>
    <t xml:space="preserve">Airport = 1 count:</t>
  </si>
  <si>
    <t xml:space="preserve">is_Airport</t>
  </si>
  <si>
    <t xml:space="preserve">is_Mall</t>
  </si>
  <si>
    <t xml:space="preserve">is_Residential</t>
  </si>
  <si>
    <t xml:space="preserve">Mall = 1 count:</t>
  </si>
  <si>
    <t xml:space="preserve">Residential = 1 count:</t>
  </si>
  <si>
    <t xml:space="preserve">High Street (all=0) count:</t>
  </si>
  <si>
    <t xml:space="preserve">Total rows:</t>
  </si>
  <si>
    <t xml:space="preserve">Simple Linear Regression Models (monthly_sales as dependent variable)</t>
  </si>
  <si>
    <t xml:space="preserve">Model SR1</t>
  </si>
  <si>
    <t xml:space="preserve">Independent variable: marketing_spend</t>
  </si>
  <si>
    <t xml:space="preserve">Slope (coefficient)</t>
  </si>
  <si>
    <t xml:space="preserve">Intercept</t>
  </si>
  <si>
    <t xml:space="preserve">R-squared</t>
  </si>
  <si>
    <t xml:space="preserve">Correlation (r)</t>
  </si>
  <si>
    <t xml:space="preserve">Std Error (slope)</t>
  </si>
  <si>
    <t xml:space="preserve">t-stat (slope)</t>
  </si>
  <si>
    <t xml:space="preserve">P-value (slope)</t>
  </si>
  <si>
    <t xml:space="preserve">N (observations)</t>
  </si>
  <si>
    <t xml:space="preserve">Model SR2</t>
  </si>
  <si>
    <t xml:space="preserve">Independent variable: footfall</t>
  </si>
  <si>
    <t xml:space="preserve">Model SR3</t>
  </si>
  <si>
    <t xml:space="preserve">Independent variable: avg_discount_pct</t>
  </si>
  <si>
    <t xml:space="preserve">Multiple Regression Model: monthly_sales ~ footfall + marketing_spend + inventory_availability_pct + staff_count + avg_discount_pct + store_type dummies</t>
  </si>
  <si>
    <t xml:space="preserve">Reference category for store_type: High Street (dummy columns: is_Airport, is_Mall, is_Residential)</t>
  </si>
  <si>
    <t xml:space="preserve">Readable Coefficient Summary</t>
  </si>
  <si>
    <t xml:space="preserve">Variable</t>
  </si>
  <si>
    <t xml:space="preserve">Coefficient</t>
  </si>
  <si>
    <t xml:space="preserve">Std Error</t>
  </si>
  <si>
    <t xml:space="preserve">t-stat</t>
  </si>
  <si>
    <t xml:space="preserve">P-value</t>
  </si>
  <si>
    <t xml:space="preserve">R² / SE_y</t>
  </si>
  <si>
    <t xml:space="preserve">F-stat / df</t>
  </si>
  <si>
    <t xml:space="preserve">SS_reg / SS_resid</t>
  </si>
  <si>
    <t xml:space="preserve">R-squared:</t>
  </si>
  <si>
    <t xml:space="preserve">F-statistic:</t>
  </si>
  <si>
    <t xml:space="preserve">Residual df:</t>
  </si>
  <si>
    <t xml:space="preserve">N (observations):</t>
  </si>
  <si>
    <t xml:space="preserve">Note: data staging block for LINEST is located in rows 40+ below (hidden helper area).</t>
  </si>
  <si>
    <t xml:space="preserve">Note: hidden columns M:S contain unused LINEST stats-array cells; #N/A there is standard Excel behavior, not a calculation error.</t>
  </si>
  <si>
    <t xml:space="preserve">Predicted Sales &amp; Residuals — Final Multiple Regression Model</t>
  </si>
  <si>
    <t xml:space="preserve">Predicted = Intercept + (footfall coef × footfall) + (marketing_spend coef × marketing_spend) + (inventory coef × inventory) + (staff coef × staff_count) + (discount coef × discount) + (Airport coef × is_Airport) + (Mall coef × is_Mall) + (Residential coef × is_Residential). Residual = Actual − Predicted.</t>
  </si>
  <si>
    <t xml:space="preserve">monthly_sales (actual)</t>
  </si>
  <si>
    <t xml:space="preserve">predicted_sales</t>
  </si>
  <si>
    <t xml:space="preserve">residual</t>
  </si>
  <si>
    <t xml:space="preserve">Top 5 Largest POSITIVE Residuals (model under-predicts)</t>
  </si>
  <si>
    <t xml:space="preserve">Top 5 Largest NEGATIVE Residuals (model over-predicts)</t>
  </si>
  <si>
    <t xml:space="preserve">Residual diagnostics:</t>
  </si>
  <si>
    <t xml:space="preserve">Mean residual:</t>
  </si>
  <si>
    <t xml:space="preserve">Std dev of residuals:</t>
  </si>
  <si>
    <t xml:space="preserve">Max positive residual:</t>
  </si>
  <si>
    <t xml:space="preserve">Max negative residual:</t>
  </si>
  <si>
    <t xml:space="preserve">Model Comparison Summary</t>
  </si>
  <si>
    <t xml:space="preserve">Model</t>
  </si>
  <si>
    <t xml:space="preserve">Type</t>
  </si>
  <si>
    <t xml:space="preserve">Independent Variable(s)</t>
  </si>
  <si>
    <t xml:space="preserve">Key P-value(s)</t>
  </si>
  <si>
    <t xml:space="preserve">Significant?</t>
  </si>
  <si>
    <t xml:space="preserve">Business Usefulness</t>
  </si>
  <si>
    <t xml:space="preserve">SR1</t>
  </si>
  <si>
    <t xml:space="preserve">Simple</t>
  </si>
  <si>
    <t xml:space="preserve">Weak standalone predictor — explains only ~16% of sales variation. Useful directionally but not for forecasting alone.</t>
  </si>
  <si>
    <t xml:space="preserve">SR2</t>
  </si>
  <si>
    <t xml:space="preserve">Strongest single-variable predictor — footfall alone explains ~73% of sales variation. Good leading indicator.</t>
  </si>
  <si>
    <t xml:space="preserve">SR3</t>
  </si>
  <si>
    <t xml:space="preserve">Not statistically significant on its own (p&gt;0.05). Discounting alone does not reliably explain sales differences.</t>
  </si>
  <si>
    <t xml:space="preserve">MR1 (Final Model)</t>
  </si>
  <si>
    <t xml:space="preserve">Multiple</t>
  </si>
  <si>
    <t xml:space="preserve">footfall, marketing_spend, inventory_availability_pct, staff_count, avg_discount_pct, store_type (dummies)</t>
  </si>
  <si>
    <t xml:space="preserve">Mostly Yes (see notes)</t>
  </si>
  <si>
    <t xml:space="preserve">Best overall model — explains ~82% of sales variation. Combines operational levers (footfall, marketing, inventory, staffing) with store-format effects. Most useful for business decisions.</t>
  </si>
  <si>
    <t xml:space="preserve">R-squared comparison (higher = more variation explained):</t>
  </si>
  <si>
    <t xml:space="preserve">SR1 (marketing_spend):</t>
  </si>
  <si>
    <t xml:space="preserve">SR2 (footfall):</t>
  </si>
  <si>
    <t xml:space="preserve">SR3 (avg_discount_pct):</t>
  </si>
  <si>
    <t xml:space="preserve">MR1 (Multiple Regression, final):</t>
  </si>
  <si>
    <t xml:space="preserve">Conclusion: MR1 selected as final model — highest R-squared, includes operational variables leadership can act on, and isolates store-format (dummy) effects.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</si>
</sst>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General"/>
    <numFmt numFmtId="167" formatCode="0.0000"/>
    <numFmt numFmtId="168" formatCode="0.000"/>
    <numFmt numFmtId="169" formatCode="0.00"/>
    <numFmt numFmtId="170" formatCode="#,##0"/>
    <numFmt numFmtId="171" formatCode="#,##0.00"/>
    <numFmt numFmtId="172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C6EFCE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45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E2EF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26"/>
    <col collapsed="false" customWidth="true" hidden="false" outlineLevel="0" max="10" min="10" style="1" width="22"/>
    <col collapsed="false" customWidth="true" hidden="false" outlineLevel="0" max="11" min="11" style="1" width="12"/>
    <col collapsed="false" customWidth="true" hidden="false" outlineLevel="0" max="12" min="12" style="1" width="16"/>
    <col collapsed="false" customWidth="true" hidden="false" outlineLevel="0" max="14" min="13" style="1" width="15"/>
  </cols>
  <sheetData>
    <row r="1" customFormat="false" ht="15.7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  <row r="4" customFormat="false" ht="15" hidden="false" customHeight="true" outlineLevel="0" collapsed="false">
      <c r="A4" s="4" t="s">
        <v>15</v>
      </c>
      <c r="B4" s="5" t="n">
        <v>45658</v>
      </c>
      <c r="C4" s="4" t="s">
        <v>16</v>
      </c>
      <c r="D4" s="4" t="s">
        <v>17</v>
      </c>
      <c r="E4" s="4" t="n">
        <v>70389.11</v>
      </c>
      <c r="F4" s="4" t="n">
        <v>8302</v>
      </c>
      <c r="G4" s="4" t="n">
        <v>0.042</v>
      </c>
      <c r="H4" s="4" t="n">
        <v>17</v>
      </c>
      <c r="I4" s="4" t="n">
        <v>75</v>
      </c>
      <c r="J4" s="4" t="n">
        <v>5.28</v>
      </c>
      <c r="K4" s="4" t="n">
        <v>1</v>
      </c>
      <c r="L4" s="4" t="n">
        <v>3.1</v>
      </c>
      <c r="M4" s="4" t="n">
        <v>658832.62</v>
      </c>
      <c r="N4" s="4" t="n">
        <v>84349.93</v>
      </c>
    </row>
    <row r="5" customFormat="false" ht="15" hidden="false" customHeight="true" outlineLevel="0" collapsed="false">
      <c r="A5" s="4" t="s">
        <v>15</v>
      </c>
      <c r="B5" s="5" t="n">
        <v>45689</v>
      </c>
      <c r="C5" s="4" t="s">
        <v>16</v>
      </c>
      <c r="D5" s="4" t="s">
        <v>17</v>
      </c>
      <c r="E5" s="4" t="n">
        <v>43827.89</v>
      </c>
      <c r="F5" s="4" t="n">
        <v>8487</v>
      </c>
      <c r="G5" s="4" t="n">
        <v>0.168</v>
      </c>
      <c r="H5" s="4" t="n">
        <v>23</v>
      </c>
      <c r="I5" s="4" t="n">
        <v>84.4</v>
      </c>
      <c r="J5" s="4" t="n">
        <v>4.31</v>
      </c>
      <c r="K5" s="4" t="n">
        <v>0</v>
      </c>
      <c r="L5" s="4" t="n">
        <v>2.8</v>
      </c>
      <c r="M5" s="4" t="n">
        <v>634436</v>
      </c>
      <c r="N5" s="4" t="n">
        <v>106130.54</v>
      </c>
    </row>
    <row r="6" customFormat="false" ht="15" hidden="false" customHeight="true" outlineLevel="0" collapsed="false">
      <c r="A6" s="4" t="s">
        <v>15</v>
      </c>
      <c r="B6" s="5" t="n">
        <v>45717</v>
      </c>
      <c r="C6" s="4" t="s">
        <v>16</v>
      </c>
      <c r="D6" s="4" t="s">
        <v>17</v>
      </c>
      <c r="E6" s="4" t="n">
        <v>59921.75</v>
      </c>
      <c r="F6" s="4" t="n">
        <v>9113</v>
      </c>
      <c r="G6" s="4" t="n">
        <v>0.133</v>
      </c>
      <c r="H6" s="4" t="n">
        <v>20</v>
      </c>
      <c r="I6" s="4" t="n">
        <v>88</v>
      </c>
      <c r="J6" s="4" t="n">
        <v>12</v>
      </c>
      <c r="K6" s="4" t="n">
        <v>0</v>
      </c>
      <c r="L6" s="4" t="n">
        <v>3.2</v>
      </c>
      <c r="M6" s="4" t="n">
        <v>678722.06</v>
      </c>
      <c r="N6" s="4" t="n">
        <v>101883.86</v>
      </c>
    </row>
    <row r="7" customFormat="false" ht="15" hidden="false" customHeight="true" outlineLevel="0" collapsed="false">
      <c r="A7" s="4" t="s">
        <v>15</v>
      </c>
      <c r="B7" s="5" t="n">
        <v>45748</v>
      </c>
      <c r="C7" s="4" t="s">
        <v>16</v>
      </c>
      <c r="D7" s="4" t="s">
        <v>17</v>
      </c>
      <c r="E7" s="4" t="n">
        <v>56856.63</v>
      </c>
      <c r="F7" s="4" t="n">
        <v>9431</v>
      </c>
      <c r="G7" s="4" t="n">
        <v>0.142</v>
      </c>
      <c r="H7" s="4" t="n">
        <v>23</v>
      </c>
      <c r="I7" s="4" t="n">
        <v>86.9</v>
      </c>
      <c r="J7" s="4" t="n">
        <v>4.97</v>
      </c>
      <c r="K7" s="4" t="n">
        <v>0</v>
      </c>
      <c r="L7" s="4" t="n">
        <v>3.4</v>
      </c>
      <c r="M7" s="4" t="n">
        <v>658920.3</v>
      </c>
      <c r="N7" s="4" t="n">
        <v>97910.37</v>
      </c>
    </row>
    <row r="8" customFormat="false" ht="15" hidden="false" customHeight="true" outlineLevel="0" collapsed="false">
      <c r="A8" s="4" t="s">
        <v>18</v>
      </c>
      <c r="B8" s="5" t="n">
        <v>45658</v>
      </c>
      <c r="C8" s="4" t="s">
        <v>16</v>
      </c>
      <c r="D8" s="4" t="s">
        <v>19</v>
      </c>
      <c r="E8" s="4" t="n">
        <v>48412.64</v>
      </c>
      <c r="F8" s="4" t="n">
        <v>9545</v>
      </c>
      <c r="G8" s="4" t="n">
        <v>0.231</v>
      </c>
      <c r="H8" s="4" t="n">
        <v>21</v>
      </c>
      <c r="I8" s="4" t="n">
        <v>97.6</v>
      </c>
      <c r="J8" s="4" t="n">
        <v>6.94</v>
      </c>
      <c r="K8" s="4" t="n">
        <v>1</v>
      </c>
      <c r="L8" s="4" t="n">
        <v>4.2</v>
      </c>
      <c r="M8" s="4" t="n">
        <v>741341.44</v>
      </c>
      <c r="N8" s="4" t="n">
        <v>119208.17</v>
      </c>
    </row>
    <row r="9" customFormat="false" ht="15" hidden="false" customHeight="true" outlineLevel="0" collapsed="false">
      <c r="A9" s="4" t="s">
        <v>18</v>
      </c>
      <c r="B9" s="5" t="n">
        <v>45689</v>
      </c>
      <c r="C9" s="4" t="s">
        <v>16</v>
      </c>
      <c r="D9" s="4" t="s">
        <v>19</v>
      </c>
      <c r="E9" s="4" t="n">
        <v>64811.21</v>
      </c>
      <c r="F9" s="4" t="n">
        <v>9792</v>
      </c>
      <c r="G9" s="4" t="n">
        <v>0.112</v>
      </c>
      <c r="H9" s="4" t="n">
        <v>20</v>
      </c>
      <c r="I9" s="4" t="n">
        <v>84.2</v>
      </c>
      <c r="J9" s="4" t="n">
        <v>2.88</v>
      </c>
      <c r="K9" s="4" t="n">
        <v>0</v>
      </c>
      <c r="L9" s="4" t="n">
        <v>4.2</v>
      </c>
      <c r="M9" s="4" t="n">
        <v>761835.34</v>
      </c>
      <c r="N9" s="4" t="n">
        <v>149602.23</v>
      </c>
    </row>
    <row r="10" customFormat="false" ht="15" hidden="false" customHeight="true" outlineLevel="0" collapsed="false">
      <c r="A10" s="4" t="s">
        <v>18</v>
      </c>
      <c r="B10" s="5" t="n">
        <v>45717</v>
      </c>
      <c r="C10" s="4" t="s">
        <v>16</v>
      </c>
      <c r="D10" s="4" t="s">
        <v>19</v>
      </c>
      <c r="E10" s="4" t="n">
        <v>46213.45</v>
      </c>
      <c r="F10" s="4" t="n">
        <v>10616</v>
      </c>
      <c r="G10" s="4" t="n">
        <v>0.122</v>
      </c>
      <c r="H10" s="4" t="n">
        <v>22</v>
      </c>
      <c r="I10" s="4" t="n">
        <v>85.2</v>
      </c>
      <c r="J10" s="4" t="n">
        <v>0.2</v>
      </c>
      <c r="K10" s="4" t="n">
        <v>1</v>
      </c>
      <c r="L10" s="4" t="n">
        <v>4.1</v>
      </c>
      <c r="M10" s="4" t="n">
        <v>806615.54</v>
      </c>
      <c r="N10" s="4" t="n">
        <v>131364.62</v>
      </c>
    </row>
    <row r="11" customFormat="false" ht="15" hidden="false" customHeight="true" outlineLevel="0" collapsed="false">
      <c r="A11" s="4" t="s">
        <v>18</v>
      </c>
      <c r="B11" s="5" t="n">
        <v>45748</v>
      </c>
      <c r="C11" s="4" t="s">
        <v>16</v>
      </c>
      <c r="D11" s="4" t="s">
        <v>19</v>
      </c>
      <c r="E11" s="4" t="n">
        <v>68148.52</v>
      </c>
      <c r="F11" s="4" t="n">
        <v>8567</v>
      </c>
      <c r="G11" s="4" t="n">
        <v>0.127</v>
      </c>
      <c r="H11" s="4" t="n">
        <v>23</v>
      </c>
      <c r="I11" s="4" t="n">
        <v>95.6</v>
      </c>
      <c r="J11" s="4" t="n">
        <v>0.8</v>
      </c>
      <c r="K11" s="4" t="n">
        <v>0</v>
      </c>
      <c r="L11" s="4" t="n">
        <v>3.9</v>
      </c>
      <c r="M11" s="4" t="n">
        <v>850164.26</v>
      </c>
      <c r="N11" s="4" t="n">
        <v>149262.75</v>
      </c>
    </row>
    <row r="12" customFormat="false" ht="15" hidden="false" customHeight="true" outlineLevel="0" collapsed="false">
      <c r="A12" s="4" t="s">
        <v>20</v>
      </c>
      <c r="B12" s="5" t="n">
        <v>45658</v>
      </c>
      <c r="C12" s="4" t="s">
        <v>21</v>
      </c>
      <c r="D12" s="4" t="s">
        <v>22</v>
      </c>
      <c r="E12" s="4" t="n">
        <v>71838.86</v>
      </c>
      <c r="F12" s="4" t="n">
        <v>10979</v>
      </c>
      <c r="G12" s="4" t="n">
        <v>0.215</v>
      </c>
      <c r="H12" s="4" t="n">
        <v>26</v>
      </c>
      <c r="I12" s="4" t="n">
        <v>88.6</v>
      </c>
      <c r="J12" s="4" t="n">
        <v>7.7</v>
      </c>
      <c r="K12" s="4" t="n">
        <v>1</v>
      </c>
      <c r="L12" s="4" t="n">
        <v>3.8</v>
      </c>
      <c r="M12" s="4" t="n">
        <v>930581.7</v>
      </c>
      <c r="N12" s="4" t="n">
        <v>136207.98</v>
      </c>
    </row>
    <row r="13" customFormat="false" ht="15" hidden="false" customHeight="true" outlineLevel="0" collapsed="false">
      <c r="A13" s="4" t="s">
        <v>20</v>
      </c>
      <c r="B13" s="5" t="n">
        <v>45689</v>
      </c>
      <c r="C13" s="4" t="s">
        <v>21</v>
      </c>
      <c r="D13" s="4" t="s">
        <v>22</v>
      </c>
      <c r="E13" s="4" t="n">
        <v>68133.44</v>
      </c>
      <c r="F13" s="4" t="n">
        <v>9459</v>
      </c>
      <c r="G13" s="4" t="n">
        <v>0.22</v>
      </c>
      <c r="H13" s="4" t="n">
        <v>21</v>
      </c>
      <c r="I13" s="4" t="n">
        <v>85</v>
      </c>
      <c r="J13" s="4" t="n">
        <v>1.91</v>
      </c>
      <c r="K13" s="4" t="n">
        <v>0</v>
      </c>
      <c r="L13" s="4" t="n">
        <v>4.2</v>
      </c>
      <c r="M13" s="4" t="n">
        <v>779010.94</v>
      </c>
      <c r="N13" s="4" t="n">
        <v>106328.09</v>
      </c>
    </row>
    <row r="14" customFormat="false" ht="15" hidden="false" customHeight="true" outlineLevel="0" collapsed="false">
      <c r="A14" s="4" t="s">
        <v>20</v>
      </c>
      <c r="B14" s="5" t="n">
        <v>45717</v>
      </c>
      <c r="C14" s="4" t="s">
        <v>21</v>
      </c>
      <c r="D14" s="4" t="s">
        <v>22</v>
      </c>
      <c r="E14" s="4" t="n">
        <v>34285.21</v>
      </c>
      <c r="F14" s="4" t="n">
        <v>9172</v>
      </c>
      <c r="G14" s="4" t="n">
        <v>0.213</v>
      </c>
      <c r="H14" s="4" t="n">
        <v>22</v>
      </c>
      <c r="I14" s="4" t="n">
        <v>88.3</v>
      </c>
      <c r="J14" s="4" t="n">
        <v>10.46</v>
      </c>
      <c r="K14" s="4" t="n">
        <v>1</v>
      </c>
      <c r="L14" s="4" t="n">
        <v>3.8</v>
      </c>
      <c r="M14" s="4" t="n">
        <v>723060.76</v>
      </c>
      <c r="N14" s="4" t="n">
        <v>123131.24</v>
      </c>
    </row>
    <row r="15" customFormat="false" ht="15" hidden="false" customHeight="true" outlineLevel="0" collapsed="false">
      <c r="A15" s="4" t="s">
        <v>20</v>
      </c>
      <c r="B15" s="5" t="n">
        <v>45748</v>
      </c>
      <c r="C15" s="4" t="s">
        <v>21</v>
      </c>
      <c r="D15" s="4" t="s">
        <v>22</v>
      </c>
      <c r="E15" s="4" t="n">
        <v>67979.88</v>
      </c>
      <c r="F15" s="4" t="n">
        <v>11230</v>
      </c>
      <c r="G15" s="4" t="n">
        <v>0.002</v>
      </c>
      <c r="H15" s="4" t="n">
        <v>28</v>
      </c>
      <c r="I15" s="4" t="n">
        <v>85.3</v>
      </c>
      <c r="J15" s="4" t="n">
        <v>7.16</v>
      </c>
      <c r="K15" s="4" t="n">
        <v>0</v>
      </c>
      <c r="L15" s="4" t="n">
        <v>3.8</v>
      </c>
      <c r="M15" s="4" t="n">
        <v>910791.94</v>
      </c>
      <c r="N15" s="4" t="n">
        <v>158891.28</v>
      </c>
    </row>
    <row r="16" customFormat="false" ht="15" hidden="false" customHeight="true" outlineLevel="0" collapsed="false">
      <c r="A16" s="4" t="s">
        <v>23</v>
      </c>
      <c r="B16" s="5" t="n">
        <v>45658</v>
      </c>
      <c r="C16" s="4" t="s">
        <v>16</v>
      </c>
      <c r="D16" s="4" t="s">
        <v>17</v>
      </c>
      <c r="E16" s="4" t="n">
        <v>71828.26</v>
      </c>
      <c r="F16" s="4" t="n">
        <v>12775</v>
      </c>
      <c r="G16" s="4" t="n">
        <v>0.116</v>
      </c>
      <c r="H16" s="4" t="n">
        <v>30</v>
      </c>
      <c r="I16" s="4" t="n">
        <v>81.7</v>
      </c>
      <c r="J16" s="4" t="n">
        <v>4.24</v>
      </c>
      <c r="K16" s="4" t="n">
        <v>1</v>
      </c>
      <c r="L16" s="4" t="n">
        <v>4.2</v>
      </c>
      <c r="M16" s="4" t="n">
        <v>922168.6</v>
      </c>
      <c r="N16" s="4" t="n">
        <v>107494.53</v>
      </c>
    </row>
    <row r="17" customFormat="false" ht="15" hidden="false" customHeight="true" outlineLevel="0" collapsed="false">
      <c r="A17" s="4" t="s">
        <v>23</v>
      </c>
      <c r="B17" s="5" t="n">
        <v>45689</v>
      </c>
      <c r="C17" s="4" t="s">
        <v>16</v>
      </c>
      <c r="D17" s="4" t="s">
        <v>17</v>
      </c>
      <c r="E17" s="4" t="n">
        <v>55716.82</v>
      </c>
      <c r="F17" s="4" t="n">
        <v>10054</v>
      </c>
      <c r="G17" s="4" t="n">
        <v>0.146</v>
      </c>
      <c r="H17" s="4" t="n">
        <v>24</v>
      </c>
      <c r="I17" s="4" t="n">
        <v>84.9</v>
      </c>
      <c r="J17" s="4" t="n">
        <v>1.06</v>
      </c>
      <c r="K17" s="4" t="n">
        <v>0</v>
      </c>
      <c r="L17" s="4" t="n">
        <v>4.3</v>
      </c>
      <c r="M17" s="4" t="n">
        <v>726606.28</v>
      </c>
      <c r="N17" s="4" t="n">
        <v>122729.29</v>
      </c>
    </row>
    <row r="18" customFormat="false" ht="15" hidden="false" customHeight="true" outlineLevel="0" collapsed="false">
      <c r="A18" s="4" t="s">
        <v>23</v>
      </c>
      <c r="B18" s="5" t="n">
        <v>45717</v>
      </c>
      <c r="C18" s="4" t="s">
        <v>16</v>
      </c>
      <c r="D18" s="4" t="s">
        <v>17</v>
      </c>
      <c r="E18" s="4" t="n">
        <v>59909.51</v>
      </c>
      <c r="F18" s="4" t="n">
        <v>8895</v>
      </c>
      <c r="G18" s="4" t="n">
        <v>0.228</v>
      </c>
      <c r="H18" s="4" t="n">
        <v>23</v>
      </c>
      <c r="I18" s="4" t="n">
        <v>88.8</v>
      </c>
      <c r="J18" s="4" t="n">
        <v>0.27</v>
      </c>
      <c r="K18" s="4" t="n">
        <v>0</v>
      </c>
      <c r="L18" s="4" t="n">
        <v>4.3</v>
      </c>
      <c r="M18" s="4" t="n">
        <v>746501.09</v>
      </c>
      <c r="N18" s="4" t="n">
        <v>136816.72</v>
      </c>
    </row>
    <row r="19" customFormat="false" ht="15" hidden="false" customHeight="true" outlineLevel="0" collapsed="false">
      <c r="A19" s="4" t="s">
        <v>23</v>
      </c>
      <c r="B19" s="5" t="n">
        <v>45748</v>
      </c>
      <c r="C19" s="4" t="s">
        <v>16</v>
      </c>
      <c r="D19" s="4" t="s">
        <v>17</v>
      </c>
      <c r="E19" s="4" t="n">
        <v>75305.71</v>
      </c>
      <c r="F19" s="4" t="n">
        <v>10940</v>
      </c>
      <c r="G19" s="4" t="n">
        <v>0.006</v>
      </c>
      <c r="H19" s="4" t="n">
        <v>26</v>
      </c>
      <c r="I19" s="4" t="n">
        <v>76.5</v>
      </c>
      <c r="J19" s="4" t="n">
        <v>1.32</v>
      </c>
      <c r="K19" s="4" t="n">
        <v>0</v>
      </c>
      <c r="L19" s="4" t="n">
        <v>4.5</v>
      </c>
      <c r="M19" s="4" t="n">
        <v>834017.02</v>
      </c>
      <c r="N19" s="4" t="n">
        <v>114745.03</v>
      </c>
    </row>
    <row r="20" customFormat="false" ht="15" hidden="false" customHeight="true" outlineLevel="0" collapsed="false">
      <c r="A20" s="4" t="s">
        <v>24</v>
      </c>
      <c r="B20" s="5" t="n">
        <v>45658</v>
      </c>
      <c r="C20" s="4" t="s">
        <v>25</v>
      </c>
      <c r="D20" s="4" t="s">
        <v>17</v>
      </c>
      <c r="E20" s="4" t="n">
        <v>48804.22</v>
      </c>
      <c r="F20" s="4" t="n">
        <v>7057</v>
      </c>
      <c r="G20" s="4" t="n">
        <v>0.005</v>
      </c>
      <c r="H20" s="4" t="n">
        <v>15</v>
      </c>
      <c r="I20" s="4" t="n">
        <v>87.7</v>
      </c>
      <c r="J20" s="4" t="n">
        <v>1.22</v>
      </c>
      <c r="K20" s="4" t="n">
        <v>0</v>
      </c>
      <c r="L20" s="4" t="n">
        <v>3.7</v>
      </c>
      <c r="M20" s="4" t="n">
        <v>666152.52</v>
      </c>
      <c r="N20" s="4" t="n">
        <v>107490.58</v>
      </c>
    </row>
    <row r="21" customFormat="false" ht="15" hidden="false" customHeight="true" outlineLevel="0" collapsed="false">
      <c r="A21" s="4" t="s">
        <v>24</v>
      </c>
      <c r="B21" s="5" t="n">
        <v>45689</v>
      </c>
      <c r="C21" s="4" t="s">
        <v>25</v>
      </c>
      <c r="D21" s="4" t="s">
        <v>17</v>
      </c>
      <c r="E21" s="4" t="n">
        <v>59117.9</v>
      </c>
      <c r="F21" s="4" t="n">
        <v>4263</v>
      </c>
      <c r="G21" s="4" t="n">
        <v>0.119</v>
      </c>
      <c r="H21" s="4" t="n">
        <v>9</v>
      </c>
      <c r="I21" s="4" t="n">
        <v>87.6</v>
      </c>
      <c r="J21" s="4" t="n">
        <v>4.01</v>
      </c>
      <c r="K21" s="4" t="n">
        <v>0</v>
      </c>
      <c r="L21" s="4" t="n">
        <v>3.6</v>
      </c>
      <c r="M21" s="4" t="n">
        <v>573155.19</v>
      </c>
      <c r="N21" s="4" t="n">
        <v>83680.75</v>
      </c>
    </row>
    <row r="22" customFormat="false" ht="15" hidden="false" customHeight="true" outlineLevel="0" collapsed="false">
      <c r="A22" s="4" t="s">
        <v>24</v>
      </c>
      <c r="B22" s="5" t="n">
        <v>45717</v>
      </c>
      <c r="C22" s="4" t="s">
        <v>25</v>
      </c>
      <c r="D22" s="4" t="s">
        <v>17</v>
      </c>
      <c r="E22" s="4" t="n">
        <v>78831.12</v>
      </c>
      <c r="F22" s="4" t="n">
        <v>5538</v>
      </c>
      <c r="G22" s="4" t="n">
        <v>0</v>
      </c>
      <c r="H22" s="4" t="n">
        <v>15</v>
      </c>
      <c r="I22" s="4" t="n">
        <v>94.1</v>
      </c>
      <c r="J22" s="4" t="n">
        <v>0.2</v>
      </c>
      <c r="K22" s="4" t="n">
        <v>0</v>
      </c>
      <c r="L22" s="4" t="n">
        <v>3.9</v>
      </c>
      <c r="M22" s="4" t="n">
        <v>666573.2</v>
      </c>
      <c r="N22" s="4" t="n">
        <v>140641.02</v>
      </c>
    </row>
    <row r="23" customFormat="false" ht="15" hidden="false" customHeight="true" outlineLevel="0" collapsed="false">
      <c r="A23" s="4" t="s">
        <v>24</v>
      </c>
      <c r="B23" s="5" t="n">
        <v>45748</v>
      </c>
      <c r="C23" s="4" t="s">
        <v>25</v>
      </c>
      <c r="D23" s="4" t="s">
        <v>17</v>
      </c>
      <c r="E23" s="4" t="n">
        <v>41441.93</v>
      </c>
      <c r="F23" s="4" t="n">
        <v>4865</v>
      </c>
      <c r="G23" s="4" t="n">
        <v>0.158</v>
      </c>
      <c r="H23" s="4" t="n">
        <v>16</v>
      </c>
      <c r="I23" s="4" t="n">
        <v>88.3</v>
      </c>
      <c r="J23" s="4" t="n">
        <v>0.5</v>
      </c>
      <c r="K23" s="4" t="n">
        <v>0</v>
      </c>
      <c r="L23" s="4" t="n">
        <v>4</v>
      </c>
      <c r="M23" s="4" t="n">
        <v>591619.95</v>
      </c>
      <c r="N23" s="4" t="n">
        <v>99521.35</v>
      </c>
    </row>
    <row r="24" customFormat="false" ht="15" hidden="false" customHeight="true" outlineLevel="0" collapsed="false">
      <c r="A24" s="4" t="s">
        <v>26</v>
      </c>
      <c r="B24" s="5" t="n">
        <v>45658</v>
      </c>
      <c r="C24" s="4" t="s">
        <v>21</v>
      </c>
      <c r="D24" s="4" t="s">
        <v>17</v>
      </c>
      <c r="E24" s="4" t="n">
        <v>30356.28</v>
      </c>
      <c r="F24" s="4" t="n">
        <v>2822</v>
      </c>
      <c r="G24" s="4" t="n">
        <v>0.231</v>
      </c>
      <c r="H24" s="4" t="n">
        <v>9</v>
      </c>
      <c r="I24" s="4" t="n">
        <v>84.8</v>
      </c>
      <c r="J24" s="4" t="n">
        <v>6.95</v>
      </c>
      <c r="K24" s="4" t="n">
        <v>0</v>
      </c>
      <c r="L24" s="4" t="n">
        <v>5</v>
      </c>
      <c r="M24" s="4" t="n">
        <v>415721.82</v>
      </c>
      <c r="N24" s="4" t="n">
        <v>61179.15</v>
      </c>
    </row>
    <row r="25" customFormat="false" ht="15" hidden="false" customHeight="true" outlineLevel="0" collapsed="false">
      <c r="A25" s="4" t="s">
        <v>26</v>
      </c>
      <c r="B25" s="5" t="n">
        <v>45689</v>
      </c>
      <c r="C25" s="4" t="s">
        <v>21</v>
      </c>
      <c r="D25" s="4" t="s">
        <v>17</v>
      </c>
      <c r="E25" s="4" t="n">
        <v>33518.88</v>
      </c>
      <c r="F25" s="4" t="n">
        <v>2121</v>
      </c>
      <c r="G25" s="4" t="n">
        <v>0.176</v>
      </c>
      <c r="H25" s="4" t="n">
        <v>8</v>
      </c>
      <c r="I25" s="4" t="n">
        <v>88.5</v>
      </c>
      <c r="J25" s="4" t="n">
        <v>0.2</v>
      </c>
      <c r="K25" s="4" t="n">
        <v>0</v>
      </c>
      <c r="L25" s="4" t="n">
        <v>5</v>
      </c>
      <c r="M25" s="4" t="n">
        <v>491905.13</v>
      </c>
      <c r="N25" s="4" t="n">
        <v>79212.26</v>
      </c>
    </row>
    <row r="26" customFormat="false" ht="15" hidden="false" customHeight="true" outlineLevel="0" collapsed="false">
      <c r="A26" s="4" t="s">
        <v>26</v>
      </c>
      <c r="B26" s="5" t="n">
        <v>45717</v>
      </c>
      <c r="C26" s="4" t="s">
        <v>21</v>
      </c>
      <c r="D26" s="4" t="s">
        <v>17</v>
      </c>
      <c r="E26" s="4" t="n">
        <v>42267.37</v>
      </c>
      <c r="F26" s="4" t="n">
        <v>3364</v>
      </c>
      <c r="G26" s="4" t="n">
        <v>0.16</v>
      </c>
      <c r="H26" s="4" t="n">
        <v>13</v>
      </c>
      <c r="I26" s="4" t="n">
        <v>82</v>
      </c>
      <c r="J26" s="4" t="n">
        <v>1.61</v>
      </c>
      <c r="K26" s="4" t="n">
        <v>1</v>
      </c>
      <c r="L26" s="4" t="n">
        <v>4.6</v>
      </c>
      <c r="M26" s="4" t="n">
        <v>555929.4</v>
      </c>
      <c r="N26" s="4" t="n">
        <v>115201.76</v>
      </c>
    </row>
    <row r="27" customFormat="false" ht="15" hidden="false" customHeight="true" outlineLevel="0" collapsed="false">
      <c r="A27" s="4" t="s">
        <v>26</v>
      </c>
      <c r="B27" s="5" t="n">
        <v>45748</v>
      </c>
      <c r="C27" s="4" t="s">
        <v>21</v>
      </c>
      <c r="D27" s="4" t="s">
        <v>17</v>
      </c>
      <c r="E27" s="4" t="n">
        <v>62060.43</v>
      </c>
      <c r="F27" s="4" t="n">
        <v>2613</v>
      </c>
      <c r="G27" s="4" t="n">
        <v>0.216</v>
      </c>
      <c r="H27" s="4" t="n">
        <v>12</v>
      </c>
      <c r="I27" s="4" t="n">
        <v>92.1</v>
      </c>
      <c r="J27" s="4" t="n">
        <v>1.55</v>
      </c>
      <c r="K27" s="4" t="n">
        <v>0</v>
      </c>
      <c r="L27" s="4" t="n">
        <v>4.7</v>
      </c>
      <c r="M27" s="4" t="n">
        <v>565810.99</v>
      </c>
      <c r="N27" s="4" t="n">
        <v>77825.46</v>
      </c>
    </row>
    <row r="28" customFormat="false" ht="15" hidden="false" customHeight="true" outlineLevel="0" collapsed="false">
      <c r="A28" s="4" t="s">
        <v>27</v>
      </c>
      <c r="B28" s="5" t="n">
        <v>45658</v>
      </c>
      <c r="C28" s="4" t="s">
        <v>28</v>
      </c>
      <c r="D28" s="4" t="s">
        <v>29</v>
      </c>
      <c r="E28" s="4" t="n">
        <v>57696.69</v>
      </c>
      <c r="F28" s="4" t="n">
        <v>10218</v>
      </c>
      <c r="G28" s="4" t="n">
        <v>0.121</v>
      </c>
      <c r="H28" s="4" t="n">
        <v>25</v>
      </c>
      <c r="I28" s="4" t="n">
        <v>94.8</v>
      </c>
      <c r="J28" s="4" t="n">
        <v>2.99</v>
      </c>
      <c r="K28" s="4" t="n">
        <v>0</v>
      </c>
      <c r="L28" s="4" t="n">
        <v>3.5</v>
      </c>
      <c r="M28" s="4" t="n">
        <v>811771.14</v>
      </c>
      <c r="N28" s="4" t="n">
        <v>148756.24</v>
      </c>
    </row>
    <row r="29" customFormat="false" ht="15" hidden="false" customHeight="true" outlineLevel="0" collapsed="false">
      <c r="A29" s="4" t="s">
        <v>27</v>
      </c>
      <c r="B29" s="5" t="n">
        <v>45689</v>
      </c>
      <c r="C29" s="4" t="s">
        <v>28</v>
      </c>
      <c r="D29" s="4" t="s">
        <v>29</v>
      </c>
      <c r="E29" s="4" t="n">
        <v>172415.52</v>
      </c>
      <c r="F29" s="4" t="n">
        <v>8927</v>
      </c>
      <c r="G29" s="4" t="n">
        <v>0.14</v>
      </c>
      <c r="H29" s="4" t="n">
        <v>22</v>
      </c>
      <c r="I29" s="4" t="n">
        <v>86.2</v>
      </c>
      <c r="J29" s="4" t="n">
        <v>7.04</v>
      </c>
      <c r="K29" s="4" t="n">
        <v>0</v>
      </c>
      <c r="L29" s="4" t="n">
        <v>3.9</v>
      </c>
      <c r="M29" s="4" t="n">
        <v>800451.94</v>
      </c>
      <c r="N29" s="4" t="n">
        <v>111572.29</v>
      </c>
    </row>
    <row r="30" customFormat="false" ht="15" hidden="false" customHeight="true" outlineLevel="0" collapsed="false">
      <c r="A30" s="4" t="s">
        <v>27</v>
      </c>
      <c r="B30" s="5" t="n">
        <v>45717</v>
      </c>
      <c r="C30" s="4" t="s">
        <v>28</v>
      </c>
      <c r="D30" s="4" t="s">
        <v>29</v>
      </c>
      <c r="E30" s="4" t="n">
        <v>55270.52</v>
      </c>
      <c r="F30" s="4" t="n">
        <v>9315</v>
      </c>
      <c r="G30" s="4" t="n">
        <v>0.169</v>
      </c>
      <c r="H30" s="4" t="n">
        <v>23</v>
      </c>
      <c r="I30" s="4" t="n">
        <v>91.9</v>
      </c>
      <c r="J30" s="4" t="n">
        <v>4.94</v>
      </c>
      <c r="K30" s="4" t="n">
        <v>0</v>
      </c>
      <c r="L30" s="4" t="n">
        <v>4</v>
      </c>
      <c r="M30" s="4" t="n">
        <v>783672.82</v>
      </c>
      <c r="N30" s="4" t="n">
        <v>112577.14</v>
      </c>
    </row>
    <row r="31" customFormat="false" ht="15" hidden="false" customHeight="true" outlineLevel="0" collapsed="false">
      <c r="A31" s="4" t="s">
        <v>27</v>
      </c>
      <c r="B31" s="5" t="n">
        <v>45748</v>
      </c>
      <c r="C31" s="4" t="s">
        <v>28</v>
      </c>
      <c r="D31" s="4" t="s">
        <v>29</v>
      </c>
      <c r="E31" s="4" t="n">
        <v>52715.1</v>
      </c>
      <c r="F31" s="4" t="n">
        <v>7223</v>
      </c>
      <c r="G31" s="4" t="n">
        <v>0.122</v>
      </c>
      <c r="H31" s="4" t="n">
        <v>16</v>
      </c>
      <c r="I31" s="4" t="n">
        <v>84.2</v>
      </c>
      <c r="J31" s="4" t="n">
        <v>16.15</v>
      </c>
      <c r="K31" s="4" t="n">
        <v>0</v>
      </c>
      <c r="L31" s="4" t="n">
        <v>3.7</v>
      </c>
      <c r="M31" s="4" t="n">
        <v>701641.97</v>
      </c>
      <c r="N31" s="4" t="n">
        <v>106111.86</v>
      </c>
    </row>
    <row r="32" customFormat="false" ht="15" hidden="false" customHeight="true" outlineLevel="0" collapsed="false">
      <c r="A32" s="4" t="s">
        <v>30</v>
      </c>
      <c r="B32" s="5" t="n">
        <v>45658</v>
      </c>
      <c r="C32" s="4" t="s">
        <v>16</v>
      </c>
      <c r="D32" s="4" t="s">
        <v>17</v>
      </c>
      <c r="E32" s="4" t="n">
        <v>68600.62</v>
      </c>
      <c r="F32" s="4" t="n">
        <v>3988</v>
      </c>
      <c r="G32" s="4" t="n">
        <v>0.124</v>
      </c>
      <c r="H32" s="4" t="n">
        <v>11</v>
      </c>
      <c r="I32" s="4" t="n">
        <v>85</v>
      </c>
      <c r="J32" s="4" t="n">
        <v>0.48</v>
      </c>
      <c r="K32" s="4" t="n">
        <v>0</v>
      </c>
      <c r="L32" s="4" t="n">
        <v>3.6</v>
      </c>
      <c r="M32" s="4" t="n">
        <v>511844.41</v>
      </c>
      <c r="N32" s="4" t="n">
        <v>72774.44</v>
      </c>
    </row>
    <row r="33" customFormat="false" ht="15" hidden="false" customHeight="true" outlineLevel="0" collapsed="false">
      <c r="A33" s="4" t="s">
        <v>30</v>
      </c>
      <c r="B33" s="5" t="n">
        <v>45689</v>
      </c>
      <c r="C33" s="4" t="s">
        <v>16</v>
      </c>
      <c r="D33" s="4" t="s">
        <v>17</v>
      </c>
      <c r="E33" s="4" t="n">
        <v>63176.73</v>
      </c>
      <c r="F33" s="4" t="n">
        <v>2390</v>
      </c>
      <c r="G33" s="4" t="n">
        <v>0.216</v>
      </c>
      <c r="H33" s="4" t="n">
        <v>9</v>
      </c>
      <c r="I33" s="4" t="n">
        <v>87.5</v>
      </c>
      <c r="J33" s="4" t="n">
        <v>0.31</v>
      </c>
      <c r="K33" s="4" t="n">
        <v>0</v>
      </c>
      <c r="L33" s="4" t="n">
        <v>3.1</v>
      </c>
      <c r="M33" s="4" t="n">
        <v>537383.79</v>
      </c>
      <c r="N33" s="4" t="n">
        <v>63773.27</v>
      </c>
    </row>
    <row r="34" customFormat="false" ht="15" hidden="false" customHeight="true" outlineLevel="0" collapsed="false">
      <c r="A34" s="4" t="s">
        <v>30</v>
      </c>
      <c r="B34" s="5" t="n">
        <v>45717</v>
      </c>
      <c r="C34" s="4" t="s">
        <v>16</v>
      </c>
      <c r="D34" s="4" t="s">
        <v>17</v>
      </c>
      <c r="E34" s="4" t="n">
        <v>44970.08</v>
      </c>
      <c r="F34" s="4" t="n">
        <v>2471</v>
      </c>
      <c r="G34" s="4" t="n">
        <v>0.136</v>
      </c>
      <c r="H34" s="4" t="n">
        <v>11</v>
      </c>
      <c r="I34" s="4" t="n">
        <v>87.6</v>
      </c>
      <c r="J34" s="4" t="n">
        <v>3.01</v>
      </c>
      <c r="K34" s="4" t="n">
        <v>1</v>
      </c>
      <c r="L34" s="4" t="n">
        <v>3.7</v>
      </c>
      <c r="M34" s="4" t="n">
        <v>500173.02</v>
      </c>
      <c r="N34" s="4" t="n">
        <v>70982.05</v>
      </c>
    </row>
    <row r="35" customFormat="false" ht="15" hidden="false" customHeight="true" outlineLevel="0" collapsed="false">
      <c r="A35" s="4" t="s">
        <v>30</v>
      </c>
      <c r="B35" s="5" t="n">
        <v>45748</v>
      </c>
      <c r="C35" s="4" t="s">
        <v>16</v>
      </c>
      <c r="D35" s="4" t="s">
        <v>17</v>
      </c>
      <c r="E35" s="4" t="n">
        <v>69816.35</v>
      </c>
      <c r="F35" s="4" t="n">
        <v>971</v>
      </c>
      <c r="G35" s="4" t="n">
        <v>0.168</v>
      </c>
      <c r="H35" s="4" t="n">
        <v>5</v>
      </c>
      <c r="I35" s="4" t="n">
        <v>89.9</v>
      </c>
      <c r="J35" s="4" t="n">
        <v>12.15</v>
      </c>
      <c r="K35" s="4" t="n">
        <v>0</v>
      </c>
      <c r="L35" s="4" t="n">
        <v>3.6</v>
      </c>
      <c r="M35" s="4" t="n">
        <v>427917.38</v>
      </c>
      <c r="N35" s="4" t="n">
        <v>81824.31</v>
      </c>
    </row>
    <row r="36" customFormat="false" ht="15" hidden="false" customHeight="true" outlineLevel="0" collapsed="false">
      <c r="A36" s="4" t="s">
        <v>31</v>
      </c>
      <c r="B36" s="5" t="n">
        <v>45658</v>
      </c>
      <c r="C36" s="4" t="s">
        <v>21</v>
      </c>
      <c r="D36" s="4" t="s">
        <v>17</v>
      </c>
      <c r="E36" s="4" t="n">
        <v>54597.83</v>
      </c>
      <c r="F36" s="4" t="n">
        <v>9429</v>
      </c>
      <c r="G36" s="4" t="n">
        <v>0.188</v>
      </c>
      <c r="H36" s="4" t="n">
        <v>21</v>
      </c>
      <c r="I36" s="4" t="n">
        <v>83.3</v>
      </c>
      <c r="J36" s="4" t="n">
        <v>11.71</v>
      </c>
      <c r="K36" s="4" t="n">
        <v>0</v>
      </c>
      <c r="L36" s="4" t="n">
        <v>4.2</v>
      </c>
      <c r="M36" s="4" t="n">
        <v>641865.03</v>
      </c>
      <c r="N36" s="4" t="n">
        <v>81342.58</v>
      </c>
    </row>
    <row r="37" customFormat="false" ht="15" hidden="false" customHeight="true" outlineLevel="0" collapsed="false">
      <c r="A37" s="4" t="s">
        <v>31</v>
      </c>
      <c r="B37" s="5" t="n">
        <v>45689</v>
      </c>
      <c r="C37" s="4" t="s">
        <v>21</v>
      </c>
      <c r="D37" s="4" t="s">
        <v>17</v>
      </c>
      <c r="E37" s="4" t="n">
        <v>73771.91</v>
      </c>
      <c r="F37" s="4" t="n">
        <v>11695</v>
      </c>
      <c r="G37" s="4" t="n">
        <v>0.07</v>
      </c>
      <c r="H37" s="4" t="n">
        <v>25</v>
      </c>
      <c r="I37" s="4" t="n">
        <v>84.7</v>
      </c>
      <c r="J37" s="4" t="n">
        <v>0.62</v>
      </c>
      <c r="K37" s="4" t="n">
        <v>0</v>
      </c>
      <c r="L37" s="4"/>
      <c r="M37" s="4" t="n">
        <v>799477.76</v>
      </c>
      <c r="N37" s="4" t="n">
        <v>164974.41</v>
      </c>
    </row>
    <row r="38" customFormat="false" ht="15" hidden="false" customHeight="true" outlineLevel="0" collapsed="false">
      <c r="A38" s="4" t="s">
        <v>31</v>
      </c>
      <c r="B38" s="5" t="n">
        <v>45717</v>
      </c>
      <c r="C38" s="4" t="s">
        <v>21</v>
      </c>
      <c r="D38" s="4" t="s">
        <v>17</v>
      </c>
      <c r="E38" s="4" t="n">
        <v>74413.88</v>
      </c>
      <c r="F38" s="4" t="n">
        <v>9449</v>
      </c>
      <c r="G38" s="4" t="n">
        <v>0.039</v>
      </c>
      <c r="H38" s="4" t="n">
        <v>23</v>
      </c>
      <c r="I38" s="4" t="n">
        <v>92.1</v>
      </c>
      <c r="J38" s="4" t="n">
        <v>2.12</v>
      </c>
      <c r="K38" s="4" t="n">
        <v>0</v>
      </c>
      <c r="L38" s="4" t="n">
        <v>3.5</v>
      </c>
      <c r="M38" s="4" t="n">
        <v>798952.17</v>
      </c>
      <c r="N38" s="4" t="n">
        <v>161499.04</v>
      </c>
    </row>
    <row r="39" customFormat="false" ht="15" hidden="false" customHeight="true" outlineLevel="0" collapsed="false">
      <c r="A39" s="4" t="s">
        <v>31</v>
      </c>
      <c r="B39" s="5" t="n">
        <v>45748</v>
      </c>
      <c r="C39" s="4" t="s">
        <v>21</v>
      </c>
      <c r="D39" s="4" t="s">
        <v>17</v>
      </c>
      <c r="E39" s="4" t="n">
        <v>52483.77</v>
      </c>
      <c r="F39" s="4" t="n">
        <v>10453</v>
      </c>
      <c r="G39" s="4" t="n">
        <v>0.247</v>
      </c>
      <c r="H39" s="4" t="n">
        <v>25</v>
      </c>
      <c r="I39" s="4" t="n">
        <v>99</v>
      </c>
      <c r="J39" s="4" t="n">
        <v>6.31</v>
      </c>
      <c r="K39" s="4" t="n">
        <v>0</v>
      </c>
      <c r="L39" s="4" t="n">
        <v>3.6</v>
      </c>
      <c r="M39" s="4" t="n">
        <v>800979.78</v>
      </c>
      <c r="N39" s="4" t="n">
        <v>149242.27</v>
      </c>
    </row>
    <row r="40" customFormat="false" ht="15" hidden="false" customHeight="true" outlineLevel="0" collapsed="false">
      <c r="A40" s="4" t="s">
        <v>32</v>
      </c>
      <c r="B40" s="5" t="n">
        <v>45658</v>
      </c>
      <c r="C40" s="4" t="s">
        <v>21</v>
      </c>
      <c r="D40" s="4" t="s">
        <v>29</v>
      </c>
      <c r="E40" s="4" t="n">
        <v>75269.87</v>
      </c>
      <c r="F40" s="4" t="n">
        <v>8838</v>
      </c>
      <c r="G40" s="4" t="n">
        <v>0.092</v>
      </c>
      <c r="H40" s="4" t="n">
        <v>21</v>
      </c>
      <c r="I40" s="4" t="n">
        <v>83.1</v>
      </c>
      <c r="J40" s="4" t="n">
        <v>9.56</v>
      </c>
      <c r="K40" s="4" t="n">
        <v>1</v>
      </c>
      <c r="L40" s="4" t="n">
        <v>4.2</v>
      </c>
      <c r="M40" s="4" t="n">
        <v>820593.93</v>
      </c>
      <c r="N40" s="4" t="n">
        <v>115860.06</v>
      </c>
    </row>
    <row r="41" customFormat="false" ht="15" hidden="false" customHeight="true" outlineLevel="0" collapsed="false">
      <c r="A41" s="4" t="s">
        <v>32</v>
      </c>
      <c r="B41" s="5" t="n">
        <v>45689</v>
      </c>
      <c r="C41" s="4" t="s">
        <v>21</v>
      </c>
      <c r="D41" s="4" t="s">
        <v>29</v>
      </c>
      <c r="E41" s="4" t="n">
        <v>61245.41</v>
      </c>
      <c r="F41" s="4" t="n">
        <v>8156</v>
      </c>
      <c r="G41" s="4" t="n">
        <v>0.156</v>
      </c>
      <c r="H41" s="4" t="n">
        <v>19</v>
      </c>
      <c r="I41" s="4" t="n">
        <v>92.9</v>
      </c>
      <c r="J41" s="4" t="n">
        <v>9.05</v>
      </c>
      <c r="K41" s="4" t="n">
        <v>0</v>
      </c>
      <c r="L41" s="4" t="n">
        <v>3.8</v>
      </c>
      <c r="M41" s="4" t="n">
        <v>718330.53</v>
      </c>
      <c r="N41" s="4" t="n">
        <v>93247.9</v>
      </c>
    </row>
    <row r="42" customFormat="false" ht="15" hidden="false" customHeight="true" outlineLevel="0" collapsed="false">
      <c r="A42" s="4" t="s">
        <v>32</v>
      </c>
      <c r="B42" s="5" t="n">
        <v>45717</v>
      </c>
      <c r="C42" s="4" t="s">
        <v>21</v>
      </c>
      <c r="D42" s="4" t="s">
        <v>29</v>
      </c>
      <c r="E42" s="4" t="n">
        <v>93381.26</v>
      </c>
      <c r="F42" s="4" t="n">
        <v>7562</v>
      </c>
      <c r="G42" s="4" t="n">
        <v>0.198</v>
      </c>
      <c r="H42" s="4" t="n">
        <v>19</v>
      </c>
      <c r="I42" s="4" t="n">
        <v>82.9</v>
      </c>
      <c r="J42" s="4" t="n">
        <v>5.05</v>
      </c>
      <c r="K42" s="4" t="n">
        <v>0</v>
      </c>
      <c r="L42" s="4" t="n">
        <v>4</v>
      </c>
      <c r="M42" s="4" t="n">
        <v>736633.4</v>
      </c>
      <c r="N42" s="4" t="n">
        <v>115654.66</v>
      </c>
    </row>
    <row r="43" customFormat="false" ht="15" hidden="false" customHeight="true" outlineLevel="0" collapsed="false">
      <c r="A43" s="4" t="s">
        <v>32</v>
      </c>
      <c r="B43" s="5" t="n">
        <v>45748</v>
      </c>
      <c r="C43" s="4" t="s">
        <v>21</v>
      </c>
      <c r="D43" s="4" t="s">
        <v>29</v>
      </c>
      <c r="E43" s="4" t="n">
        <v>65012.19</v>
      </c>
      <c r="F43" s="4" t="n">
        <v>9598</v>
      </c>
      <c r="G43" s="4" t="n">
        <v>0.085</v>
      </c>
      <c r="H43" s="4" t="n">
        <v>24</v>
      </c>
      <c r="I43" s="4" t="n">
        <v>98.3</v>
      </c>
      <c r="J43" s="4" t="n">
        <v>0.89</v>
      </c>
      <c r="K43" s="4" t="n">
        <v>0</v>
      </c>
      <c r="L43" s="4" t="n">
        <v>3.8</v>
      </c>
      <c r="M43" s="4" t="n">
        <v>828623.85</v>
      </c>
      <c r="N43" s="4" t="n">
        <v>167320.52</v>
      </c>
    </row>
    <row r="44" customFormat="false" ht="15" hidden="false" customHeight="true" outlineLevel="0" collapsed="false">
      <c r="A44" s="4" t="s">
        <v>33</v>
      </c>
      <c r="B44" s="5" t="n">
        <v>45658</v>
      </c>
      <c r="C44" s="4" t="s">
        <v>16</v>
      </c>
      <c r="D44" s="4" t="s">
        <v>29</v>
      </c>
      <c r="E44" s="4" t="n">
        <v>40462.94</v>
      </c>
      <c r="F44" s="4" t="n">
        <v>3660</v>
      </c>
      <c r="G44" s="4" t="n">
        <v>0.218</v>
      </c>
      <c r="H44" s="4" t="n">
        <v>11</v>
      </c>
      <c r="I44" s="4" t="n">
        <v>95.2</v>
      </c>
      <c r="J44" s="4" t="n">
        <v>5.57</v>
      </c>
      <c r="K44" s="4" t="n">
        <v>0</v>
      </c>
      <c r="L44" s="4" t="n">
        <v>4.4</v>
      </c>
      <c r="M44" s="4" t="n">
        <v>592195.85</v>
      </c>
      <c r="N44" s="4" t="n">
        <v>92291.56</v>
      </c>
    </row>
    <row r="45" customFormat="false" ht="15" hidden="false" customHeight="true" outlineLevel="0" collapsed="false">
      <c r="A45" s="4" t="s">
        <v>33</v>
      </c>
      <c r="B45" s="5" t="n">
        <v>45689</v>
      </c>
      <c r="C45" s="4" t="s">
        <v>16</v>
      </c>
      <c r="D45" s="4" t="s">
        <v>29</v>
      </c>
      <c r="E45" s="4" t="n">
        <v>46123.88</v>
      </c>
      <c r="F45" s="4" t="n">
        <v>3227</v>
      </c>
      <c r="G45" s="4" t="n">
        <v>0.143</v>
      </c>
      <c r="H45" s="4" t="n">
        <v>10</v>
      </c>
      <c r="I45" s="4" t="n">
        <v>75.4</v>
      </c>
      <c r="J45" s="4" t="n">
        <v>1.06</v>
      </c>
      <c r="K45" s="4" t="n">
        <v>0</v>
      </c>
      <c r="L45" s="4" t="n">
        <v>4.4</v>
      </c>
      <c r="M45" s="4" t="n">
        <v>532644.46</v>
      </c>
      <c r="N45" s="4" t="n">
        <v>60681.32</v>
      </c>
    </row>
    <row r="46" customFormat="false" ht="15" hidden="false" customHeight="true" outlineLevel="0" collapsed="false">
      <c r="A46" s="4" t="s">
        <v>33</v>
      </c>
      <c r="B46" s="5" t="n">
        <v>45717</v>
      </c>
      <c r="C46" s="4" t="s">
        <v>16</v>
      </c>
      <c r="D46" s="4" t="s">
        <v>29</v>
      </c>
      <c r="E46" s="4" t="n">
        <v>68077.54</v>
      </c>
      <c r="F46" s="4" t="n">
        <v>3360</v>
      </c>
      <c r="G46" s="4" t="n">
        <v>0.128</v>
      </c>
      <c r="H46" s="4" t="n">
        <v>14</v>
      </c>
      <c r="I46" s="4" t="n">
        <v>88.2</v>
      </c>
      <c r="J46" s="4" t="n">
        <v>1.24</v>
      </c>
      <c r="K46" s="4" t="n">
        <v>1</v>
      </c>
      <c r="L46" s="4" t="n">
        <v>4</v>
      </c>
      <c r="M46" s="4" t="n">
        <v>657429.18</v>
      </c>
      <c r="N46" s="4" t="n">
        <v>88919.74</v>
      </c>
    </row>
    <row r="47" customFormat="false" ht="15" hidden="false" customHeight="true" outlineLevel="0" collapsed="false">
      <c r="A47" s="4" t="s">
        <v>33</v>
      </c>
      <c r="B47" s="5" t="n">
        <v>45748</v>
      </c>
      <c r="C47" s="4" t="s">
        <v>16</v>
      </c>
      <c r="D47" s="4" t="s">
        <v>29</v>
      </c>
      <c r="E47" s="4" t="n">
        <v>64882.14</v>
      </c>
      <c r="F47" s="4" t="n">
        <v>3642</v>
      </c>
      <c r="G47" s="4" t="n">
        <v>0.019</v>
      </c>
      <c r="H47" s="4" t="n">
        <v>13</v>
      </c>
      <c r="I47" s="4" t="n">
        <v>87.8</v>
      </c>
      <c r="J47" s="4" t="n">
        <v>4.52</v>
      </c>
      <c r="K47" s="4" t="n">
        <v>0</v>
      </c>
      <c r="L47" s="4" t="n">
        <v>4.2</v>
      </c>
      <c r="M47" s="4" t="n">
        <v>605178</v>
      </c>
      <c r="N47" s="4" t="n">
        <v>106958.74</v>
      </c>
    </row>
    <row r="48" customFormat="false" ht="15" hidden="false" customHeight="true" outlineLevel="0" collapsed="false">
      <c r="A48" s="4" t="s">
        <v>34</v>
      </c>
      <c r="B48" s="5" t="n">
        <v>45658</v>
      </c>
      <c r="C48" s="4" t="s">
        <v>28</v>
      </c>
      <c r="D48" s="4" t="s">
        <v>17</v>
      </c>
      <c r="E48" s="4" t="n">
        <v>138855.51</v>
      </c>
      <c r="F48" s="4" t="n">
        <v>5145</v>
      </c>
      <c r="G48" s="4" t="n">
        <v>0.06</v>
      </c>
      <c r="H48" s="4" t="n">
        <v>17</v>
      </c>
      <c r="I48" s="4" t="n">
        <v>88.2</v>
      </c>
      <c r="J48" s="4" t="n">
        <v>9.58</v>
      </c>
      <c r="K48" s="4" t="n">
        <v>0</v>
      </c>
      <c r="L48" s="4" t="n">
        <v>3.2</v>
      </c>
      <c r="M48" s="4" t="n">
        <v>595467.6</v>
      </c>
      <c r="N48" s="4" t="n">
        <v>104276.46</v>
      </c>
    </row>
    <row r="49" customFormat="false" ht="15" hidden="false" customHeight="true" outlineLevel="0" collapsed="false">
      <c r="A49" s="4" t="s">
        <v>34</v>
      </c>
      <c r="B49" s="5" t="n">
        <v>45689</v>
      </c>
      <c r="C49" s="4" t="s">
        <v>28</v>
      </c>
      <c r="D49" s="4" t="s">
        <v>17</v>
      </c>
      <c r="E49" s="4" t="n">
        <v>63630.21</v>
      </c>
      <c r="F49" s="4" t="n">
        <v>4460</v>
      </c>
      <c r="G49" s="4" t="n">
        <v>0.235</v>
      </c>
      <c r="H49" s="4" t="n">
        <v>14</v>
      </c>
      <c r="I49" s="4" t="n">
        <v>98.6</v>
      </c>
      <c r="J49" s="4" t="n">
        <v>5.52</v>
      </c>
      <c r="K49" s="4" t="n">
        <v>0</v>
      </c>
      <c r="L49" s="4" t="n">
        <v>3.5</v>
      </c>
      <c r="M49" s="4" t="n">
        <v>599603.4</v>
      </c>
      <c r="N49" s="4" t="n">
        <v>112685.12</v>
      </c>
    </row>
    <row r="50" customFormat="false" ht="15" hidden="false" customHeight="true" outlineLevel="0" collapsed="false">
      <c r="A50" s="4" t="s">
        <v>34</v>
      </c>
      <c r="B50" s="5" t="n">
        <v>45717</v>
      </c>
      <c r="C50" s="4" t="s">
        <v>28</v>
      </c>
      <c r="D50" s="4" t="s">
        <v>17</v>
      </c>
      <c r="E50" s="4" t="n">
        <v>50043.65</v>
      </c>
      <c r="F50" s="4" t="n">
        <v>3804</v>
      </c>
      <c r="G50" s="4" t="n">
        <v>0.113</v>
      </c>
      <c r="H50" s="4" t="n">
        <v>11</v>
      </c>
      <c r="I50" s="4" t="n">
        <v>90.9</v>
      </c>
      <c r="J50" s="4" t="n">
        <v>2.7</v>
      </c>
      <c r="K50" s="4" t="n">
        <v>1</v>
      </c>
      <c r="L50" s="4" t="n">
        <v>3.2</v>
      </c>
      <c r="M50" s="4" t="n">
        <v>614800.09</v>
      </c>
      <c r="N50" s="4" t="n">
        <v>100044.2</v>
      </c>
    </row>
    <row r="51" customFormat="false" ht="15" hidden="false" customHeight="true" outlineLevel="0" collapsed="false">
      <c r="A51" s="4" t="s">
        <v>34</v>
      </c>
      <c r="B51" s="5" t="n">
        <v>45748</v>
      </c>
      <c r="C51" s="4" t="s">
        <v>28</v>
      </c>
      <c r="D51" s="4" t="s">
        <v>17</v>
      </c>
      <c r="E51" s="4" t="n">
        <v>42093.84</v>
      </c>
      <c r="F51" s="4" t="n">
        <v>4074</v>
      </c>
      <c r="G51" s="4" t="n">
        <v>0.155</v>
      </c>
      <c r="H51" s="4" t="n">
        <v>15</v>
      </c>
      <c r="I51" s="4" t="n">
        <v>88</v>
      </c>
      <c r="J51" s="4" t="n">
        <v>9.64</v>
      </c>
      <c r="K51" s="4" t="n">
        <v>0</v>
      </c>
      <c r="L51" s="4" t="n">
        <v>3.3</v>
      </c>
      <c r="M51" s="4" t="n">
        <v>585365.73</v>
      </c>
      <c r="N51" s="4" t="n">
        <v>81011.52</v>
      </c>
    </row>
    <row r="52" customFormat="false" ht="15" hidden="false" customHeight="true" outlineLevel="0" collapsed="false">
      <c r="A52" s="4" t="s">
        <v>35</v>
      </c>
      <c r="B52" s="5" t="n">
        <v>45658</v>
      </c>
      <c r="C52" s="4" t="s">
        <v>21</v>
      </c>
      <c r="D52" s="4" t="s">
        <v>29</v>
      </c>
      <c r="E52" s="4" t="n">
        <v>46624.05</v>
      </c>
      <c r="F52" s="4" t="n">
        <v>5104</v>
      </c>
      <c r="G52" s="4" t="n">
        <v>0.109</v>
      </c>
      <c r="H52" s="4" t="n">
        <v>11</v>
      </c>
      <c r="I52" s="4" t="n">
        <v>97.3</v>
      </c>
      <c r="J52" s="4" t="n">
        <v>3.49</v>
      </c>
      <c r="K52" s="4" t="n">
        <v>1</v>
      </c>
      <c r="L52" s="4" t="n">
        <v>4.7</v>
      </c>
      <c r="M52" s="4" t="n">
        <v>622811.74</v>
      </c>
      <c r="N52" s="4" t="n">
        <v>109978.35</v>
      </c>
    </row>
    <row r="53" customFormat="false" ht="15" hidden="false" customHeight="true" outlineLevel="0" collapsed="false">
      <c r="A53" s="4" t="s">
        <v>35</v>
      </c>
      <c r="B53" s="5" t="n">
        <v>45689</v>
      </c>
      <c r="C53" s="4" t="s">
        <v>21</v>
      </c>
      <c r="D53" s="4" t="s">
        <v>29</v>
      </c>
      <c r="E53" s="4" t="n">
        <v>49710.29</v>
      </c>
      <c r="F53" s="4" t="n">
        <v>5559</v>
      </c>
      <c r="G53" s="4" t="n">
        <v>0.218</v>
      </c>
      <c r="H53" s="4" t="n">
        <v>14</v>
      </c>
      <c r="I53" s="4" t="n">
        <v>71</v>
      </c>
      <c r="J53" s="4" t="n">
        <v>9.11</v>
      </c>
      <c r="K53" s="4" t="n">
        <v>0</v>
      </c>
      <c r="L53" s="4" t="n">
        <v>4.6</v>
      </c>
      <c r="M53" s="4" t="n">
        <v>603297.57</v>
      </c>
      <c r="N53" s="4" t="n">
        <v>60592.26</v>
      </c>
    </row>
    <row r="54" customFormat="false" ht="15" hidden="false" customHeight="true" outlineLevel="0" collapsed="false">
      <c r="A54" s="4" t="s">
        <v>35</v>
      </c>
      <c r="B54" s="5" t="n">
        <v>45717</v>
      </c>
      <c r="C54" s="4" t="s">
        <v>21</v>
      </c>
      <c r="D54" s="4" t="s">
        <v>29</v>
      </c>
      <c r="E54" s="4" t="n">
        <v>48287.85</v>
      </c>
      <c r="F54" s="4" t="n">
        <v>5150</v>
      </c>
      <c r="G54" s="4" t="n">
        <v>0.008</v>
      </c>
      <c r="H54" s="4" t="n">
        <v>12</v>
      </c>
      <c r="I54" s="4" t="n">
        <v>80.4</v>
      </c>
      <c r="J54" s="4" t="n">
        <v>7.4</v>
      </c>
      <c r="K54" s="4" t="n">
        <v>0</v>
      </c>
      <c r="L54" s="4" t="n">
        <v>4.5</v>
      </c>
      <c r="M54" s="4" t="n">
        <v>625672.86</v>
      </c>
      <c r="N54" s="4" t="n">
        <v>118020.12</v>
      </c>
    </row>
    <row r="55" customFormat="false" ht="15" hidden="false" customHeight="true" outlineLevel="0" collapsed="false">
      <c r="A55" s="4" t="s">
        <v>35</v>
      </c>
      <c r="B55" s="5" t="n">
        <v>45748</v>
      </c>
      <c r="C55" s="4" t="s">
        <v>21</v>
      </c>
      <c r="D55" s="4" t="s">
        <v>29</v>
      </c>
      <c r="E55" s="4" t="n">
        <v>65312.49</v>
      </c>
      <c r="F55" s="4" t="n">
        <v>7189</v>
      </c>
      <c r="G55" s="4" t="n">
        <v>0.05</v>
      </c>
      <c r="H55" s="4" t="n">
        <v>19</v>
      </c>
      <c r="I55" s="4" t="n">
        <v>93.7</v>
      </c>
      <c r="J55" s="4" t="n">
        <v>7.16</v>
      </c>
      <c r="K55" s="4" t="n">
        <v>0</v>
      </c>
      <c r="L55" s="4" t="n">
        <v>4.6</v>
      </c>
      <c r="M55" s="4" t="n">
        <v>773815.14</v>
      </c>
      <c r="N55" s="4" t="n">
        <v>133948.39</v>
      </c>
    </row>
    <row r="56" customFormat="false" ht="15" hidden="false" customHeight="true" outlineLevel="0" collapsed="false">
      <c r="A56" s="4" t="s">
        <v>36</v>
      </c>
      <c r="B56" s="5" t="n">
        <v>45658</v>
      </c>
      <c r="C56" s="4" t="s">
        <v>28</v>
      </c>
      <c r="D56" s="4" t="s">
        <v>19</v>
      </c>
      <c r="E56" s="4" t="n">
        <v>53015.46</v>
      </c>
      <c r="F56" s="4" t="n">
        <v>3279</v>
      </c>
      <c r="G56" s="4" t="n">
        <v>0.087</v>
      </c>
      <c r="H56" s="4" t="n">
        <v>9</v>
      </c>
      <c r="I56" s="4" t="n">
        <v>84.3</v>
      </c>
      <c r="J56" s="4" t="n">
        <v>22.02</v>
      </c>
      <c r="K56" s="4" t="n">
        <v>0</v>
      </c>
      <c r="L56" s="4" t="n">
        <v>3.9</v>
      </c>
      <c r="M56" s="4" t="n">
        <v>463534.25</v>
      </c>
      <c r="N56" s="4" t="n">
        <v>81834.54</v>
      </c>
    </row>
    <row r="57" customFormat="false" ht="15" hidden="false" customHeight="true" outlineLevel="0" collapsed="false">
      <c r="A57" s="4" t="s">
        <v>36</v>
      </c>
      <c r="B57" s="5" t="n">
        <v>45689</v>
      </c>
      <c r="C57" s="4" t="s">
        <v>28</v>
      </c>
      <c r="D57" s="4" t="s">
        <v>19</v>
      </c>
      <c r="E57" s="4" t="n">
        <v>99874.01</v>
      </c>
      <c r="F57" s="4" t="n">
        <v>5887</v>
      </c>
      <c r="G57" s="4" t="n">
        <v>0.262</v>
      </c>
      <c r="H57" s="4" t="n">
        <v>14</v>
      </c>
      <c r="I57" s="4" t="n">
        <v>88.7</v>
      </c>
      <c r="J57" s="4" t="n">
        <v>6.18</v>
      </c>
      <c r="K57" s="4" t="n">
        <v>0</v>
      </c>
      <c r="L57" s="4" t="n">
        <v>4.7</v>
      </c>
      <c r="M57" s="4" t="n">
        <v>746677.75</v>
      </c>
      <c r="N57" s="4" t="n">
        <v>122437.84</v>
      </c>
    </row>
    <row r="58" customFormat="false" ht="15" hidden="false" customHeight="true" outlineLevel="0" collapsed="false">
      <c r="A58" s="4" t="s">
        <v>36</v>
      </c>
      <c r="B58" s="5" t="n">
        <v>45717</v>
      </c>
      <c r="C58" s="4" t="s">
        <v>28</v>
      </c>
      <c r="D58" s="4" t="s">
        <v>19</v>
      </c>
      <c r="E58" s="4" t="n">
        <v>81195.5</v>
      </c>
      <c r="F58" s="4" t="n">
        <v>5516</v>
      </c>
      <c r="G58" s="4" t="n">
        <v>0.106</v>
      </c>
      <c r="H58" s="4" t="n">
        <v>14</v>
      </c>
      <c r="I58" s="4" t="n">
        <v>88</v>
      </c>
      <c r="J58" s="4" t="n">
        <v>1.76</v>
      </c>
      <c r="K58" s="4" t="n">
        <v>0</v>
      </c>
      <c r="L58" s="4" t="n">
        <v>4.3</v>
      </c>
      <c r="M58" s="4" t="n">
        <v>720852.5</v>
      </c>
      <c r="N58" s="4" t="n">
        <v>98565.62</v>
      </c>
    </row>
    <row r="59" customFormat="false" ht="15" hidden="false" customHeight="true" outlineLevel="0" collapsed="false">
      <c r="A59" s="4" t="s">
        <v>36</v>
      </c>
      <c r="B59" s="5" t="n">
        <v>45748</v>
      </c>
      <c r="C59" s="4" t="s">
        <v>28</v>
      </c>
      <c r="D59" s="4" t="s">
        <v>19</v>
      </c>
      <c r="E59" s="4" t="n">
        <v>27808.6</v>
      </c>
      <c r="F59" s="4" t="n">
        <v>2863</v>
      </c>
      <c r="G59" s="4" t="n">
        <v>0.08</v>
      </c>
      <c r="H59" s="4" t="n">
        <v>13</v>
      </c>
      <c r="I59" s="4" t="n">
        <v>89.3</v>
      </c>
      <c r="J59" s="4" t="n">
        <v>0.47</v>
      </c>
      <c r="K59" s="4" t="n">
        <v>0</v>
      </c>
      <c r="L59" s="4" t="n">
        <v>4.1</v>
      </c>
      <c r="M59" s="4" t="n">
        <v>487464.91</v>
      </c>
      <c r="N59" s="4" t="n">
        <v>64562.26</v>
      </c>
    </row>
    <row r="60" customFormat="false" ht="15" hidden="false" customHeight="true" outlineLevel="0" collapsed="false">
      <c r="A60" s="4" t="s">
        <v>37</v>
      </c>
      <c r="B60" s="5" t="n">
        <v>45658</v>
      </c>
      <c r="C60" s="4" t="s">
        <v>16</v>
      </c>
      <c r="D60" s="4" t="s">
        <v>22</v>
      </c>
      <c r="E60" s="4" t="n">
        <v>19365.06</v>
      </c>
      <c r="F60" s="4" t="n">
        <v>2378</v>
      </c>
      <c r="G60" s="4" t="n">
        <v>0</v>
      </c>
      <c r="H60" s="4" t="n">
        <v>12</v>
      </c>
      <c r="I60" s="4" t="n">
        <v>94.8</v>
      </c>
      <c r="J60" s="4" t="n">
        <v>0.2</v>
      </c>
      <c r="K60" s="4" t="n">
        <v>0</v>
      </c>
      <c r="L60" s="4" t="n">
        <v>3.5</v>
      </c>
      <c r="M60" s="4" t="n">
        <v>518049.26</v>
      </c>
      <c r="N60" s="4" t="n">
        <v>108592.49</v>
      </c>
    </row>
    <row r="61" customFormat="false" ht="15" hidden="false" customHeight="true" outlineLevel="0" collapsed="false">
      <c r="A61" s="4" t="s">
        <v>37</v>
      </c>
      <c r="B61" s="5" t="n">
        <v>45689</v>
      </c>
      <c r="C61" s="4" t="s">
        <v>16</v>
      </c>
      <c r="D61" s="4" t="s">
        <v>22</v>
      </c>
      <c r="E61" s="4" t="n">
        <v>59405.68</v>
      </c>
      <c r="F61" s="4" t="n">
        <v>2515</v>
      </c>
      <c r="G61" s="4" t="n">
        <v>0.039</v>
      </c>
      <c r="H61" s="4" t="n">
        <v>12</v>
      </c>
      <c r="I61" s="4" t="n">
        <v>76</v>
      </c>
      <c r="J61" s="4" t="n">
        <v>5.11</v>
      </c>
      <c r="K61" s="4" t="n">
        <v>0</v>
      </c>
      <c r="L61" s="4" t="n">
        <v>3.7</v>
      </c>
      <c r="M61" s="4" t="n">
        <v>500298.48</v>
      </c>
      <c r="N61" s="4" t="n">
        <v>73461.32</v>
      </c>
    </row>
    <row r="62" customFormat="false" ht="15" hidden="false" customHeight="true" outlineLevel="0" collapsed="false">
      <c r="A62" s="4" t="s">
        <v>37</v>
      </c>
      <c r="B62" s="5" t="n">
        <v>45717</v>
      </c>
      <c r="C62" s="4" t="s">
        <v>16</v>
      </c>
      <c r="D62" s="4" t="s">
        <v>22</v>
      </c>
      <c r="E62" s="4" t="n">
        <v>118910.48</v>
      </c>
      <c r="F62" s="4" t="n">
        <v>4022</v>
      </c>
      <c r="G62" s="4" t="n">
        <v>0.137</v>
      </c>
      <c r="H62" s="4" t="n">
        <v>11</v>
      </c>
      <c r="I62" s="4" t="n">
        <v>87.1</v>
      </c>
      <c r="J62" s="4" t="n">
        <v>0.2</v>
      </c>
      <c r="K62" s="4" t="n">
        <v>0</v>
      </c>
      <c r="L62" s="4" t="n">
        <v>3.1</v>
      </c>
      <c r="M62" s="4" t="n">
        <v>617291.15</v>
      </c>
      <c r="N62" s="4" t="n">
        <v>117782</v>
      </c>
    </row>
    <row r="63" customFormat="false" ht="15" hidden="false" customHeight="true" outlineLevel="0" collapsed="false">
      <c r="A63" s="4" t="s">
        <v>37</v>
      </c>
      <c r="B63" s="5" t="n">
        <v>45748</v>
      </c>
      <c r="C63" s="4" t="s">
        <v>16</v>
      </c>
      <c r="D63" s="4" t="s">
        <v>22</v>
      </c>
      <c r="E63" s="4" t="n">
        <v>52952.12</v>
      </c>
      <c r="F63" s="4" t="n">
        <v>4377</v>
      </c>
      <c r="G63" s="4" t="n">
        <v>0.092</v>
      </c>
      <c r="H63" s="4" t="n">
        <v>14</v>
      </c>
      <c r="I63" s="4" t="n">
        <v>88.6</v>
      </c>
      <c r="J63" s="4" t="n">
        <v>13.59</v>
      </c>
      <c r="K63" s="4" t="n">
        <v>0</v>
      </c>
      <c r="L63" s="4" t="n">
        <v>3.1</v>
      </c>
      <c r="M63" s="4" t="n">
        <v>553756.43</v>
      </c>
      <c r="N63" s="4" t="n">
        <v>86166.77</v>
      </c>
    </row>
    <row r="64" customFormat="false" ht="15" hidden="false" customHeight="true" outlineLevel="0" collapsed="false">
      <c r="A64" s="4" t="s">
        <v>38</v>
      </c>
      <c r="B64" s="5" t="n">
        <v>45658</v>
      </c>
      <c r="C64" s="4" t="s">
        <v>25</v>
      </c>
      <c r="D64" s="4" t="s">
        <v>19</v>
      </c>
      <c r="E64" s="4" t="n">
        <v>74907.98</v>
      </c>
      <c r="F64" s="4" t="n">
        <v>5306</v>
      </c>
      <c r="G64" s="4" t="n">
        <v>0.062</v>
      </c>
      <c r="H64" s="4" t="n">
        <v>16</v>
      </c>
      <c r="I64" s="4" t="n">
        <v>95.6</v>
      </c>
      <c r="J64" s="4" t="n">
        <v>1.02</v>
      </c>
      <c r="K64" s="4" t="n">
        <v>0</v>
      </c>
      <c r="L64" s="4" t="n">
        <v>3.7</v>
      </c>
      <c r="M64" s="4" t="n">
        <v>749559.71</v>
      </c>
      <c r="N64" s="4" t="n">
        <v>144522.53</v>
      </c>
    </row>
    <row r="65" customFormat="false" ht="15" hidden="false" customHeight="true" outlineLevel="0" collapsed="false">
      <c r="A65" s="4" t="s">
        <v>38</v>
      </c>
      <c r="B65" s="5" t="n">
        <v>45689</v>
      </c>
      <c r="C65" s="4" t="s">
        <v>25</v>
      </c>
      <c r="D65" s="4" t="s">
        <v>19</v>
      </c>
      <c r="E65" s="4" t="n">
        <v>37284.66</v>
      </c>
      <c r="F65" s="4" t="n">
        <v>3928</v>
      </c>
      <c r="G65" s="4" t="n">
        <v>0.074</v>
      </c>
      <c r="H65" s="4" t="n">
        <v>12</v>
      </c>
      <c r="I65" s="4" t="n">
        <v>86.5</v>
      </c>
      <c r="J65" s="4" t="n">
        <v>1.64</v>
      </c>
      <c r="K65" s="4" t="n">
        <v>0</v>
      </c>
      <c r="L65" s="4" t="n">
        <v>3.8</v>
      </c>
      <c r="M65" s="4" t="n">
        <v>615966.48</v>
      </c>
      <c r="N65" s="4" t="n">
        <v>91509.38</v>
      </c>
    </row>
    <row r="66" customFormat="false" ht="15" hidden="false" customHeight="true" outlineLevel="0" collapsed="false">
      <c r="A66" s="4" t="s">
        <v>38</v>
      </c>
      <c r="B66" s="5" t="n">
        <v>45717</v>
      </c>
      <c r="C66" s="4" t="s">
        <v>25</v>
      </c>
      <c r="D66" s="4" t="s">
        <v>19</v>
      </c>
      <c r="E66" s="4" t="n">
        <v>50343.19</v>
      </c>
      <c r="F66" s="4" t="n">
        <v>3845</v>
      </c>
      <c r="G66" s="4" t="n">
        <v>0.113</v>
      </c>
      <c r="H66" s="4" t="n">
        <v>9</v>
      </c>
      <c r="I66" s="4" t="n">
        <v>88.7</v>
      </c>
      <c r="J66" s="4" t="n">
        <v>5.15</v>
      </c>
      <c r="K66" s="4" t="n">
        <v>0</v>
      </c>
      <c r="L66" s="4" t="n">
        <v>3.3</v>
      </c>
      <c r="M66" s="4" t="n">
        <v>572011.2</v>
      </c>
      <c r="N66" s="4" t="n">
        <v>101409.68</v>
      </c>
    </row>
    <row r="67" customFormat="false" ht="15" hidden="false" customHeight="true" outlineLevel="0" collapsed="false">
      <c r="A67" s="4" t="s">
        <v>38</v>
      </c>
      <c r="B67" s="5" t="n">
        <v>45748</v>
      </c>
      <c r="C67" s="4" t="s">
        <v>25</v>
      </c>
      <c r="D67" s="4" t="s">
        <v>19</v>
      </c>
      <c r="E67" s="4" t="n">
        <v>74954.47</v>
      </c>
      <c r="F67" s="4" t="n">
        <v>6620</v>
      </c>
      <c r="G67" s="4" t="n">
        <v>0.054</v>
      </c>
      <c r="H67" s="4" t="n">
        <v>17</v>
      </c>
      <c r="I67" s="4" t="n">
        <v>91.1</v>
      </c>
      <c r="J67" s="4" t="n">
        <v>1.11</v>
      </c>
      <c r="K67" s="4" t="n">
        <v>0</v>
      </c>
      <c r="L67" s="4" t="n">
        <v>3.5</v>
      </c>
      <c r="M67" s="4" t="n">
        <v>761860.19</v>
      </c>
      <c r="N67" s="4" t="n">
        <v>133279.38</v>
      </c>
    </row>
    <row r="68" customFormat="false" ht="15" hidden="false" customHeight="true" outlineLevel="0" collapsed="false">
      <c r="A68" s="4" t="s">
        <v>39</v>
      </c>
      <c r="B68" s="5" t="n">
        <v>45658</v>
      </c>
      <c r="C68" s="4" t="s">
        <v>28</v>
      </c>
      <c r="D68" s="4" t="s">
        <v>19</v>
      </c>
      <c r="E68" s="4" t="n">
        <v>70040.31</v>
      </c>
      <c r="F68" s="4" t="n">
        <v>9175</v>
      </c>
      <c r="G68" s="4" t="n">
        <v>0.107</v>
      </c>
      <c r="H68" s="4" t="n">
        <v>23</v>
      </c>
      <c r="I68" s="4" t="n">
        <v>95.1</v>
      </c>
      <c r="J68" s="4" t="n">
        <v>6.08</v>
      </c>
      <c r="K68" s="4" t="n">
        <v>1</v>
      </c>
      <c r="L68" s="4" t="n">
        <v>3.4</v>
      </c>
      <c r="M68" s="4" t="n">
        <v>784502.68</v>
      </c>
      <c r="N68" s="4" t="n">
        <v>129519.72</v>
      </c>
    </row>
    <row r="69" customFormat="false" ht="15" hidden="false" customHeight="true" outlineLevel="0" collapsed="false">
      <c r="A69" s="4" t="s">
        <v>39</v>
      </c>
      <c r="B69" s="5" t="n">
        <v>45689</v>
      </c>
      <c r="C69" s="4" t="s">
        <v>28</v>
      </c>
      <c r="D69" s="4" t="s">
        <v>19</v>
      </c>
      <c r="E69" s="4" t="n">
        <v>51148.69</v>
      </c>
      <c r="F69" s="4" t="n">
        <v>7940</v>
      </c>
      <c r="G69" s="4" t="n">
        <v>0.156</v>
      </c>
      <c r="H69" s="4" t="n">
        <v>18</v>
      </c>
      <c r="I69" s="4" t="n">
        <v>93.3</v>
      </c>
      <c r="J69" s="4" t="n">
        <v>10.91</v>
      </c>
      <c r="K69" s="4" t="n">
        <v>0</v>
      </c>
      <c r="L69" s="4" t="n">
        <v>3.6</v>
      </c>
      <c r="M69" s="4" t="n">
        <v>717141.55</v>
      </c>
      <c r="N69" s="4" t="n">
        <v>134013.61</v>
      </c>
    </row>
    <row r="70" customFormat="false" ht="15" hidden="false" customHeight="true" outlineLevel="0" collapsed="false">
      <c r="A70" s="4" t="s">
        <v>39</v>
      </c>
      <c r="B70" s="5" t="n">
        <v>45717</v>
      </c>
      <c r="C70" s="4" t="s">
        <v>28</v>
      </c>
      <c r="D70" s="4" t="s">
        <v>19</v>
      </c>
      <c r="E70" s="4" t="n">
        <v>79346.1</v>
      </c>
      <c r="F70" s="4" t="n">
        <v>9628</v>
      </c>
      <c r="G70" s="4" t="n">
        <v>0.102</v>
      </c>
      <c r="H70" s="4" t="n">
        <v>20</v>
      </c>
      <c r="I70" s="4" t="n">
        <v>99</v>
      </c>
      <c r="J70" s="4" t="n">
        <v>19.01</v>
      </c>
      <c r="K70" s="4" t="n">
        <v>1</v>
      </c>
      <c r="L70" s="4" t="n">
        <v>3.2</v>
      </c>
      <c r="M70" s="4" t="n">
        <v>685379.08</v>
      </c>
      <c r="N70" s="4" t="n">
        <v>106898.82</v>
      </c>
    </row>
    <row r="71" customFormat="false" ht="15" hidden="false" customHeight="true" outlineLevel="0" collapsed="false">
      <c r="A71" s="4" t="s">
        <v>39</v>
      </c>
      <c r="B71" s="5" t="n">
        <v>45748</v>
      </c>
      <c r="C71" s="4" t="s">
        <v>28</v>
      </c>
      <c r="D71" s="4" t="s">
        <v>19</v>
      </c>
      <c r="E71" s="4" t="n">
        <v>42018.4</v>
      </c>
      <c r="F71" s="4" t="n">
        <v>8296</v>
      </c>
      <c r="G71" s="4" t="n">
        <v>0.115</v>
      </c>
      <c r="H71" s="4" t="n">
        <v>17</v>
      </c>
      <c r="I71" s="4" t="n">
        <v>91.8</v>
      </c>
      <c r="J71" s="4" t="n">
        <v>0.77</v>
      </c>
      <c r="K71" s="4" t="n">
        <v>0</v>
      </c>
      <c r="L71" s="4" t="n">
        <v>3.4</v>
      </c>
      <c r="M71" s="4" t="n">
        <v>740496.65</v>
      </c>
      <c r="N71" s="4" t="n">
        <v>128020.9</v>
      </c>
    </row>
    <row r="72" customFormat="false" ht="15" hidden="false" customHeight="true" outlineLevel="0" collapsed="false">
      <c r="A72" s="4" t="s">
        <v>40</v>
      </c>
      <c r="B72" s="5" t="n">
        <v>45658</v>
      </c>
      <c r="C72" s="4" t="s">
        <v>16</v>
      </c>
      <c r="D72" s="4" t="s">
        <v>19</v>
      </c>
      <c r="E72" s="4" t="n">
        <v>70937.24</v>
      </c>
      <c r="F72" s="4" t="n">
        <v>3595</v>
      </c>
      <c r="G72" s="4" t="n">
        <v>0.141</v>
      </c>
      <c r="H72" s="4" t="n">
        <v>11</v>
      </c>
      <c r="I72" s="4" t="n">
        <v>88.9</v>
      </c>
      <c r="J72" s="4" t="n">
        <v>2.83</v>
      </c>
      <c r="K72" s="4" t="n">
        <v>1</v>
      </c>
      <c r="L72" s="4" t="n">
        <v>3.3</v>
      </c>
      <c r="M72" s="4" t="n">
        <v>661927.14</v>
      </c>
      <c r="N72" s="4" t="n">
        <v>79218.57</v>
      </c>
    </row>
    <row r="73" customFormat="false" ht="15" hidden="false" customHeight="true" outlineLevel="0" collapsed="false">
      <c r="A73" s="4" t="s">
        <v>40</v>
      </c>
      <c r="B73" s="5" t="n">
        <v>45689</v>
      </c>
      <c r="C73" s="4" t="s">
        <v>16</v>
      </c>
      <c r="D73" s="4" t="s">
        <v>19</v>
      </c>
      <c r="E73" s="4" t="n">
        <v>36813.45</v>
      </c>
      <c r="F73" s="4" t="n">
        <v>2834</v>
      </c>
      <c r="G73" s="4" t="n">
        <v>0.191</v>
      </c>
      <c r="H73" s="4" t="n">
        <v>11</v>
      </c>
      <c r="I73" s="4" t="n">
        <v>81.8</v>
      </c>
      <c r="J73" s="4" t="n">
        <v>2.33</v>
      </c>
      <c r="K73" s="4" t="n">
        <v>0</v>
      </c>
      <c r="L73" s="4" t="n">
        <v>3.3</v>
      </c>
      <c r="M73" s="4" t="n">
        <v>479050.5</v>
      </c>
      <c r="N73" s="4" t="n">
        <v>53651.11</v>
      </c>
    </row>
    <row r="74" customFormat="false" ht="15" hidden="false" customHeight="true" outlineLevel="0" collapsed="false">
      <c r="A74" s="4" t="s">
        <v>40</v>
      </c>
      <c r="B74" s="5" t="n">
        <v>45717</v>
      </c>
      <c r="C74" s="4" t="s">
        <v>16</v>
      </c>
      <c r="D74" s="4" t="s">
        <v>19</v>
      </c>
      <c r="E74" s="4" t="n">
        <v>60571.82</v>
      </c>
      <c r="F74" s="4" t="n">
        <v>3193</v>
      </c>
      <c r="G74" s="4" t="n">
        <v>0.197</v>
      </c>
      <c r="H74" s="4" t="n">
        <v>7</v>
      </c>
      <c r="I74" s="4" t="n">
        <v>99</v>
      </c>
      <c r="J74" s="4" t="n">
        <v>1.43</v>
      </c>
      <c r="K74" s="4" t="n">
        <v>0</v>
      </c>
      <c r="L74" s="4" t="n">
        <v>3.2</v>
      </c>
      <c r="M74" s="4" t="n">
        <v>605023.87</v>
      </c>
      <c r="N74" s="4" t="n">
        <v>98545.81</v>
      </c>
    </row>
    <row r="75" customFormat="false" ht="15" hidden="false" customHeight="true" outlineLevel="0" collapsed="false">
      <c r="A75" s="4" t="s">
        <v>40</v>
      </c>
      <c r="B75" s="5" t="n">
        <v>45748</v>
      </c>
      <c r="C75" s="4" t="s">
        <v>16</v>
      </c>
      <c r="D75" s="4" t="s">
        <v>19</v>
      </c>
      <c r="E75" s="4" t="n">
        <v>55081.16</v>
      </c>
      <c r="F75" s="4" t="n">
        <v>5485</v>
      </c>
      <c r="G75" s="4" t="n">
        <v>0.036</v>
      </c>
      <c r="H75" s="4" t="n">
        <v>12</v>
      </c>
      <c r="I75" s="4" t="n">
        <v>88</v>
      </c>
      <c r="J75" s="4"/>
      <c r="K75" s="4" t="n">
        <v>0</v>
      </c>
      <c r="L75" s="4" t="n">
        <v>3.5</v>
      </c>
      <c r="M75" s="4" t="n">
        <v>674774.09</v>
      </c>
      <c r="N75" s="4" t="n">
        <v>141917.59</v>
      </c>
    </row>
    <row r="76" customFormat="false" ht="15" hidden="false" customHeight="true" outlineLevel="0" collapsed="false">
      <c r="A76" s="4" t="s">
        <v>41</v>
      </c>
      <c r="B76" s="5" t="n">
        <v>45658</v>
      </c>
      <c r="C76" s="4" t="s">
        <v>16</v>
      </c>
      <c r="D76" s="4" t="s">
        <v>17</v>
      </c>
      <c r="E76" s="4" t="n">
        <v>46201.46</v>
      </c>
      <c r="F76" s="4" t="n">
        <v>5918</v>
      </c>
      <c r="G76" s="4" t="n">
        <v>0.277</v>
      </c>
      <c r="H76" s="4" t="n">
        <v>13</v>
      </c>
      <c r="I76" s="4" t="n">
        <v>78.8</v>
      </c>
      <c r="J76" s="4" t="n">
        <v>4.91</v>
      </c>
      <c r="K76" s="4" t="n">
        <v>0</v>
      </c>
      <c r="L76" s="4" t="n">
        <v>4.5</v>
      </c>
      <c r="M76" s="4" t="n">
        <v>616069.41</v>
      </c>
      <c r="N76" s="4" t="n">
        <v>54453.99</v>
      </c>
    </row>
    <row r="77" customFormat="false" ht="15" hidden="false" customHeight="true" outlineLevel="0" collapsed="false">
      <c r="A77" s="4" t="s">
        <v>41</v>
      </c>
      <c r="B77" s="5" t="n">
        <v>45689</v>
      </c>
      <c r="C77" s="4" t="s">
        <v>16</v>
      </c>
      <c r="D77" s="4" t="s">
        <v>17</v>
      </c>
      <c r="E77" s="4" t="n">
        <v>53762.92</v>
      </c>
      <c r="F77" s="4" t="n">
        <v>6821</v>
      </c>
      <c r="G77" s="4" t="n">
        <v>0.066</v>
      </c>
      <c r="H77" s="4" t="n">
        <v>19</v>
      </c>
      <c r="I77" s="4" t="n">
        <v>94.6</v>
      </c>
      <c r="J77" s="4" t="n">
        <v>7.03</v>
      </c>
      <c r="K77" s="4" t="n">
        <v>0</v>
      </c>
      <c r="L77" s="4" t="n">
        <v>4.4</v>
      </c>
      <c r="M77" s="4" t="n">
        <v>630829.94</v>
      </c>
      <c r="N77" s="4" t="n">
        <v>117090.02</v>
      </c>
    </row>
    <row r="78" customFormat="false" ht="15" hidden="false" customHeight="true" outlineLevel="0" collapsed="false">
      <c r="A78" s="4" t="s">
        <v>41</v>
      </c>
      <c r="B78" s="5" t="n">
        <v>45717</v>
      </c>
      <c r="C78" s="4" t="s">
        <v>16</v>
      </c>
      <c r="D78" s="4" t="s">
        <v>17</v>
      </c>
      <c r="E78" s="4" t="n">
        <v>70144.78</v>
      </c>
      <c r="F78" s="4" t="n">
        <v>6806</v>
      </c>
      <c r="G78" s="4" t="n">
        <v>0.178</v>
      </c>
      <c r="H78" s="4" t="n">
        <v>20</v>
      </c>
      <c r="I78" s="4" t="n">
        <v>93.1</v>
      </c>
      <c r="J78" s="4" t="n">
        <v>0.28</v>
      </c>
      <c r="K78" s="4" t="n">
        <v>1</v>
      </c>
      <c r="L78" s="4" t="n">
        <v>4.3</v>
      </c>
      <c r="M78" s="4" t="n">
        <v>788087.68</v>
      </c>
      <c r="N78" s="4" t="n">
        <v>116803.42</v>
      </c>
    </row>
    <row r="79" customFormat="false" ht="15" hidden="false" customHeight="true" outlineLevel="0" collapsed="false">
      <c r="A79" s="4" t="s">
        <v>41</v>
      </c>
      <c r="B79" s="5" t="n">
        <v>45748</v>
      </c>
      <c r="C79" s="4" t="s">
        <v>16</v>
      </c>
      <c r="D79" s="4" t="s">
        <v>17</v>
      </c>
      <c r="E79" s="4" t="n">
        <v>58749.63</v>
      </c>
      <c r="F79" s="4" t="n">
        <v>8252</v>
      </c>
      <c r="G79" s="4" t="n">
        <v>0.203</v>
      </c>
      <c r="H79" s="4" t="n">
        <v>20</v>
      </c>
      <c r="I79" s="4" t="n">
        <v>85.2</v>
      </c>
      <c r="J79" s="4" t="n">
        <v>3.61</v>
      </c>
      <c r="K79" s="4" t="n">
        <v>0</v>
      </c>
      <c r="L79" s="4" t="n">
        <v>4.5</v>
      </c>
      <c r="M79" s="4" t="n">
        <v>680840.36</v>
      </c>
      <c r="N79" s="4" t="n">
        <v>68007.68</v>
      </c>
    </row>
    <row r="80" customFormat="false" ht="15" hidden="false" customHeight="true" outlineLevel="0" collapsed="false">
      <c r="A80" s="4" t="s">
        <v>42</v>
      </c>
      <c r="B80" s="5" t="n">
        <v>45658</v>
      </c>
      <c r="C80" s="4" t="s">
        <v>25</v>
      </c>
      <c r="D80" s="4" t="s">
        <v>19</v>
      </c>
      <c r="E80" s="4" t="n">
        <v>56973.18</v>
      </c>
      <c r="F80" s="4" t="n">
        <v>6662</v>
      </c>
      <c r="G80" s="4" t="n">
        <v>0.1</v>
      </c>
      <c r="H80" s="4" t="n">
        <v>15</v>
      </c>
      <c r="I80" s="4" t="n">
        <v>77.7</v>
      </c>
      <c r="J80" s="4" t="n">
        <v>7.52</v>
      </c>
      <c r="K80" s="4" t="n">
        <v>1</v>
      </c>
      <c r="L80" s="4" t="n">
        <v>3.2</v>
      </c>
      <c r="M80" s="4" t="n">
        <v>643657.47</v>
      </c>
      <c r="N80" s="4" t="n">
        <v>87022.45</v>
      </c>
    </row>
    <row r="81" customFormat="false" ht="15" hidden="false" customHeight="true" outlineLevel="0" collapsed="false">
      <c r="A81" s="4" t="s">
        <v>42</v>
      </c>
      <c r="B81" s="5" t="n">
        <v>45689</v>
      </c>
      <c r="C81" s="4" t="s">
        <v>25</v>
      </c>
      <c r="D81" s="4" t="s">
        <v>19</v>
      </c>
      <c r="E81" s="4" t="n">
        <v>54872.82</v>
      </c>
      <c r="F81" s="4" t="n">
        <v>5962</v>
      </c>
      <c r="G81" s="4" t="n">
        <v>0.064</v>
      </c>
      <c r="H81" s="4" t="n">
        <v>12</v>
      </c>
      <c r="I81" s="4" t="n">
        <v>85.4</v>
      </c>
      <c r="J81" s="4" t="n">
        <v>2.58</v>
      </c>
      <c r="K81" s="4" t="n">
        <v>0</v>
      </c>
      <c r="L81" s="4" t="n">
        <v>2.9</v>
      </c>
      <c r="M81" s="4" t="n">
        <v>691112.6</v>
      </c>
      <c r="N81" s="4" t="n">
        <v>109212.83</v>
      </c>
    </row>
    <row r="82" customFormat="false" ht="15" hidden="false" customHeight="true" outlineLevel="0" collapsed="false">
      <c r="A82" s="4" t="s">
        <v>42</v>
      </c>
      <c r="B82" s="5" t="n">
        <v>45717</v>
      </c>
      <c r="C82" s="4" t="s">
        <v>25</v>
      </c>
      <c r="D82" s="4" t="s">
        <v>19</v>
      </c>
      <c r="E82" s="4" t="n">
        <v>80562.81</v>
      </c>
      <c r="F82" s="4" t="n">
        <v>7470</v>
      </c>
      <c r="G82" s="4" t="n">
        <v>0.172</v>
      </c>
      <c r="H82" s="4" t="n">
        <v>16</v>
      </c>
      <c r="I82" s="4" t="n">
        <v>83.5</v>
      </c>
      <c r="J82" s="4" t="n">
        <v>2.29</v>
      </c>
      <c r="K82" s="4" t="n">
        <v>0</v>
      </c>
      <c r="L82" s="4" t="n">
        <v>3.3</v>
      </c>
      <c r="M82" s="4" t="n">
        <v>776922.17</v>
      </c>
      <c r="N82" s="4" t="n">
        <v>150701.93</v>
      </c>
    </row>
    <row r="83" customFormat="false" ht="15" hidden="false" customHeight="true" outlineLevel="0" collapsed="false">
      <c r="A83" s="4" t="s">
        <v>42</v>
      </c>
      <c r="B83" s="5" t="n">
        <v>45748</v>
      </c>
      <c r="C83" s="4" t="s">
        <v>25</v>
      </c>
      <c r="D83" s="4" t="s">
        <v>19</v>
      </c>
      <c r="E83" s="4" t="n">
        <v>77999.9</v>
      </c>
      <c r="F83" s="4" t="n">
        <v>5974</v>
      </c>
      <c r="G83" s="4" t="n">
        <v>0.252</v>
      </c>
      <c r="H83" s="4" t="n">
        <v>14</v>
      </c>
      <c r="I83" s="4" t="n">
        <v>81.3</v>
      </c>
      <c r="J83" s="4" t="n">
        <v>2.39</v>
      </c>
      <c r="K83" s="4" t="n">
        <v>0</v>
      </c>
      <c r="L83" s="4" t="n">
        <v>3.2</v>
      </c>
      <c r="M83" s="4" t="n">
        <v>636561.34</v>
      </c>
      <c r="N83" s="4" t="n">
        <v>93861.06</v>
      </c>
    </row>
    <row r="84" customFormat="false" ht="15" hidden="false" customHeight="true" outlineLevel="0" collapsed="false">
      <c r="A84" s="4" t="s">
        <v>43</v>
      </c>
      <c r="B84" s="5" t="n">
        <v>45658</v>
      </c>
      <c r="C84" s="4" t="s">
        <v>28</v>
      </c>
      <c r="D84" s="4" t="s">
        <v>29</v>
      </c>
      <c r="E84" s="4" t="n">
        <v>60881.01</v>
      </c>
      <c r="F84" s="4" t="n">
        <v>5410</v>
      </c>
      <c r="G84" s="4" t="n">
        <v>0.179</v>
      </c>
      <c r="H84" s="4" t="n">
        <v>15</v>
      </c>
      <c r="I84" s="4" t="n">
        <v>83.9</v>
      </c>
      <c r="J84" s="4" t="n">
        <v>5.24</v>
      </c>
      <c r="K84" s="4" t="n">
        <v>0</v>
      </c>
      <c r="L84" s="4" t="n">
        <v>4.6</v>
      </c>
      <c r="M84" s="4" t="n">
        <v>621369.58</v>
      </c>
      <c r="N84" s="4" t="n">
        <v>85493.64</v>
      </c>
    </row>
    <row r="85" customFormat="false" ht="15" hidden="false" customHeight="true" outlineLevel="0" collapsed="false">
      <c r="A85" s="4" t="s">
        <v>43</v>
      </c>
      <c r="B85" s="5" t="n">
        <v>45689</v>
      </c>
      <c r="C85" s="4" t="s">
        <v>28</v>
      </c>
      <c r="D85" s="4" t="s">
        <v>29</v>
      </c>
      <c r="E85" s="4" t="n">
        <v>60628.38</v>
      </c>
      <c r="F85" s="4" t="n">
        <v>4451</v>
      </c>
      <c r="G85" s="4" t="n">
        <v>0.095</v>
      </c>
      <c r="H85" s="4" t="n">
        <v>10</v>
      </c>
      <c r="I85" s="4" t="n">
        <v>89.6</v>
      </c>
      <c r="J85" s="4" t="n">
        <v>3.17</v>
      </c>
      <c r="K85" s="4" t="n">
        <v>0</v>
      </c>
      <c r="L85" s="4" t="n">
        <v>4.6</v>
      </c>
      <c r="M85" s="4" t="n">
        <v>682208.01</v>
      </c>
      <c r="N85" s="4" t="n">
        <v>110318.84</v>
      </c>
    </row>
    <row r="86" customFormat="false" ht="15" hidden="false" customHeight="true" outlineLevel="0" collapsed="false">
      <c r="A86" s="4" t="s">
        <v>43</v>
      </c>
      <c r="B86" s="5" t="n">
        <v>45717</v>
      </c>
      <c r="C86" s="4" t="s">
        <v>28</v>
      </c>
      <c r="D86" s="4" t="s">
        <v>29</v>
      </c>
      <c r="E86" s="4" t="n">
        <v>72731.14</v>
      </c>
      <c r="F86" s="4" t="n">
        <v>4644</v>
      </c>
      <c r="G86" s="4" t="n">
        <v>0.084</v>
      </c>
      <c r="H86" s="4" t="n">
        <v>15</v>
      </c>
      <c r="I86" s="4" t="n">
        <v>87.1</v>
      </c>
      <c r="J86" s="4" t="n">
        <v>2.66</v>
      </c>
      <c r="K86" s="4" t="n">
        <v>0</v>
      </c>
      <c r="L86" s="4" t="n">
        <v>4.6</v>
      </c>
      <c r="M86" s="4" t="n">
        <v>727241.86</v>
      </c>
      <c r="N86" s="4" t="n">
        <v>155810.3</v>
      </c>
    </row>
    <row r="87" customFormat="false" ht="15" hidden="false" customHeight="true" outlineLevel="0" collapsed="false">
      <c r="A87" s="4" t="s">
        <v>43</v>
      </c>
      <c r="B87" s="5" t="n">
        <v>45748</v>
      </c>
      <c r="C87" s="4" t="s">
        <v>28</v>
      </c>
      <c r="D87" s="4" t="s">
        <v>29</v>
      </c>
      <c r="E87" s="4" t="n">
        <v>36475.71</v>
      </c>
      <c r="F87" s="4" t="n">
        <v>3559</v>
      </c>
      <c r="G87" s="4" t="n">
        <v>0.03</v>
      </c>
      <c r="H87" s="4" t="n">
        <v>8</v>
      </c>
      <c r="I87" s="4" t="n">
        <v>83.6</v>
      </c>
      <c r="J87" s="4" t="n">
        <v>1.41</v>
      </c>
      <c r="K87" s="4" t="n">
        <v>0</v>
      </c>
      <c r="L87" s="4" t="n">
        <v>4.2</v>
      </c>
      <c r="M87" s="4" t="n">
        <v>569100.78</v>
      </c>
      <c r="N87" s="4" t="n">
        <v>104808.78</v>
      </c>
    </row>
    <row r="88" customFormat="false" ht="15" hidden="false" customHeight="true" outlineLevel="0" collapsed="false">
      <c r="A88" s="4" t="s">
        <v>44</v>
      </c>
      <c r="B88" s="5" t="n">
        <v>45658</v>
      </c>
      <c r="C88" s="4" t="s">
        <v>28</v>
      </c>
      <c r="D88" s="4" t="s">
        <v>19</v>
      </c>
      <c r="E88" s="4" t="n">
        <v>55388.11</v>
      </c>
      <c r="F88" s="4" t="n">
        <v>3091</v>
      </c>
      <c r="G88" s="4" t="n">
        <v>0.108</v>
      </c>
      <c r="H88" s="4" t="n">
        <v>7</v>
      </c>
      <c r="I88" s="4" t="n">
        <v>85.4</v>
      </c>
      <c r="J88" s="4" t="n">
        <v>7.34</v>
      </c>
      <c r="K88" s="4" t="n">
        <v>0</v>
      </c>
      <c r="L88" s="4" t="n">
        <v>4.9</v>
      </c>
      <c r="M88" s="4" t="n">
        <v>574436.29</v>
      </c>
      <c r="N88" s="4" t="n">
        <v>80271.99</v>
      </c>
    </row>
    <row r="89" customFormat="false" ht="15" hidden="false" customHeight="true" outlineLevel="0" collapsed="false">
      <c r="A89" s="4" t="s">
        <v>44</v>
      </c>
      <c r="B89" s="5" t="n">
        <v>45689</v>
      </c>
      <c r="C89" s="4" t="s">
        <v>28</v>
      </c>
      <c r="D89" s="4" t="s">
        <v>19</v>
      </c>
      <c r="E89" s="4" t="n">
        <v>88443.77</v>
      </c>
      <c r="F89" s="4" t="n">
        <v>4004</v>
      </c>
      <c r="G89" s="4" t="n">
        <v>0.206</v>
      </c>
      <c r="H89" s="4" t="n">
        <v>11</v>
      </c>
      <c r="I89" s="4" t="n">
        <v>91.9</v>
      </c>
      <c r="J89" s="4" t="n">
        <v>5.95</v>
      </c>
      <c r="K89" s="4" t="n">
        <v>0</v>
      </c>
      <c r="L89" s="4"/>
      <c r="M89" s="4" t="n">
        <v>611766.72</v>
      </c>
      <c r="N89" s="4" t="n">
        <v>88275.61</v>
      </c>
    </row>
    <row r="90" customFormat="false" ht="15" hidden="false" customHeight="true" outlineLevel="0" collapsed="false">
      <c r="A90" s="4" t="s">
        <v>44</v>
      </c>
      <c r="B90" s="5" t="n">
        <v>45717</v>
      </c>
      <c r="C90" s="4" t="s">
        <v>28</v>
      </c>
      <c r="D90" s="4" t="s">
        <v>19</v>
      </c>
      <c r="E90" s="4" t="n">
        <v>78231.91</v>
      </c>
      <c r="F90" s="4" t="n">
        <v>3788</v>
      </c>
      <c r="G90" s="4" t="n">
        <v>0.059</v>
      </c>
      <c r="H90" s="4" t="n">
        <v>11</v>
      </c>
      <c r="I90" s="4" t="n">
        <v>88.5</v>
      </c>
      <c r="J90" s="4" t="n">
        <v>15.51</v>
      </c>
      <c r="K90" s="4" t="n">
        <v>0</v>
      </c>
      <c r="L90" s="4" t="n">
        <v>4.3</v>
      </c>
      <c r="M90" s="4" t="n">
        <v>614596.32</v>
      </c>
      <c r="N90" s="4" t="n">
        <v>131199.41</v>
      </c>
    </row>
    <row r="91" customFormat="false" ht="15" hidden="false" customHeight="true" outlineLevel="0" collapsed="false">
      <c r="A91" s="4" t="s">
        <v>44</v>
      </c>
      <c r="B91" s="5" t="n">
        <v>45748</v>
      </c>
      <c r="C91" s="4" t="s">
        <v>28</v>
      </c>
      <c r="D91" s="4" t="s">
        <v>19</v>
      </c>
      <c r="E91" s="4" t="n">
        <v>18996.32</v>
      </c>
      <c r="F91" s="4" t="n">
        <v>1260</v>
      </c>
      <c r="G91" s="4" t="n">
        <v>0.145</v>
      </c>
      <c r="H91" s="4" t="n">
        <v>9</v>
      </c>
      <c r="I91" s="4" t="n">
        <v>86.4</v>
      </c>
      <c r="J91" s="4" t="n">
        <v>4.31</v>
      </c>
      <c r="K91" s="4" t="n">
        <v>0</v>
      </c>
      <c r="L91" s="4" t="n">
        <v>4.6</v>
      </c>
      <c r="M91" s="4" t="n">
        <v>450711.92</v>
      </c>
      <c r="N91" s="4" t="n">
        <v>90043.76</v>
      </c>
    </row>
    <row r="92" customFormat="false" ht="15" hidden="false" customHeight="true" outlineLevel="0" collapsed="false">
      <c r="A92" s="4" t="s">
        <v>45</v>
      </c>
      <c r="B92" s="5" t="n">
        <v>45658</v>
      </c>
      <c r="C92" s="4" t="s">
        <v>25</v>
      </c>
      <c r="D92" s="4" t="s">
        <v>29</v>
      </c>
      <c r="E92" s="4" t="n">
        <v>50517.94</v>
      </c>
      <c r="F92" s="4" t="n">
        <v>7024</v>
      </c>
      <c r="G92" s="4" t="n">
        <v>0.029</v>
      </c>
      <c r="H92" s="4" t="n">
        <v>18</v>
      </c>
      <c r="I92" s="4" t="n">
        <v>79.2</v>
      </c>
      <c r="J92" s="4" t="n">
        <v>6.61</v>
      </c>
      <c r="K92" s="4" t="n">
        <v>1</v>
      </c>
      <c r="L92" s="4" t="n">
        <v>4.1</v>
      </c>
      <c r="M92" s="4" t="n">
        <v>711213.46</v>
      </c>
      <c r="N92" s="4" t="n">
        <v>105863.26</v>
      </c>
    </row>
    <row r="93" customFormat="false" ht="15" hidden="false" customHeight="true" outlineLevel="0" collapsed="false">
      <c r="A93" s="4" t="s">
        <v>45</v>
      </c>
      <c r="B93" s="5" t="n">
        <v>45689</v>
      </c>
      <c r="C93" s="4" t="s">
        <v>25</v>
      </c>
      <c r="D93" s="4" t="s">
        <v>29</v>
      </c>
      <c r="E93" s="4" t="n">
        <v>141540.29</v>
      </c>
      <c r="F93" s="4" t="n">
        <v>5400</v>
      </c>
      <c r="G93" s="4" t="n">
        <v>0.013</v>
      </c>
      <c r="H93" s="4" t="n">
        <v>12</v>
      </c>
      <c r="I93" s="4" t="n">
        <v>87</v>
      </c>
      <c r="J93" s="4" t="n">
        <v>4.26</v>
      </c>
      <c r="K93" s="4" t="n">
        <v>0</v>
      </c>
      <c r="L93" s="4" t="n">
        <v>4.5</v>
      </c>
      <c r="M93" s="4" t="n">
        <v>627171.9</v>
      </c>
      <c r="N93" s="4" t="n">
        <v>105772.75</v>
      </c>
    </row>
    <row r="94" customFormat="false" ht="15" hidden="false" customHeight="true" outlineLevel="0" collapsed="false">
      <c r="A94" s="4" t="s">
        <v>45</v>
      </c>
      <c r="B94" s="5" t="n">
        <v>45717</v>
      </c>
      <c r="C94" s="4" t="s">
        <v>25</v>
      </c>
      <c r="D94" s="4" t="s">
        <v>29</v>
      </c>
      <c r="E94" s="4" t="n">
        <v>82116.19</v>
      </c>
      <c r="F94" s="4" t="n">
        <v>5988</v>
      </c>
      <c r="G94" s="4" t="n">
        <v>0.04</v>
      </c>
      <c r="H94" s="4" t="n">
        <v>17</v>
      </c>
      <c r="I94" s="4" t="n">
        <v>91.8</v>
      </c>
      <c r="J94" s="4" t="n">
        <v>5.75</v>
      </c>
      <c r="K94" s="4" t="n">
        <v>0</v>
      </c>
      <c r="L94" s="4" t="n">
        <v>4.7</v>
      </c>
      <c r="M94" s="4" t="n">
        <v>739852.58</v>
      </c>
      <c r="N94" s="4" t="n">
        <v>129386.43</v>
      </c>
    </row>
    <row r="95" customFormat="false" ht="15" hidden="false" customHeight="true" outlineLevel="0" collapsed="false">
      <c r="A95" s="4" t="s">
        <v>45</v>
      </c>
      <c r="B95" s="5" t="n">
        <v>45748</v>
      </c>
      <c r="C95" s="4" t="s">
        <v>25</v>
      </c>
      <c r="D95" s="4" t="s">
        <v>29</v>
      </c>
      <c r="E95" s="4" t="n">
        <v>31207.51</v>
      </c>
      <c r="F95" s="4" t="n">
        <v>3701</v>
      </c>
      <c r="G95" s="4" t="n">
        <v>0.043</v>
      </c>
      <c r="H95" s="4" t="n">
        <v>11</v>
      </c>
      <c r="I95" s="4" t="n">
        <v>84.7</v>
      </c>
      <c r="J95" s="4" t="n">
        <v>0.33</v>
      </c>
      <c r="K95" s="4" t="n">
        <v>0</v>
      </c>
      <c r="L95" s="4" t="n">
        <v>4.3</v>
      </c>
      <c r="M95" s="4" t="n">
        <v>586307.22</v>
      </c>
      <c r="N95" s="4" t="n">
        <v>73927.85</v>
      </c>
    </row>
    <row r="96" customFormat="false" ht="15" hidden="false" customHeight="true" outlineLevel="0" collapsed="false">
      <c r="A96" s="4" t="s">
        <v>46</v>
      </c>
      <c r="B96" s="5" t="n">
        <v>45658</v>
      </c>
      <c r="C96" s="4" t="s">
        <v>28</v>
      </c>
      <c r="D96" s="4" t="s">
        <v>17</v>
      </c>
      <c r="E96" s="4" t="n">
        <v>38966.59</v>
      </c>
      <c r="F96" s="4" t="n">
        <v>4509</v>
      </c>
      <c r="G96" s="4" t="n">
        <v>0.194</v>
      </c>
      <c r="H96" s="4" t="n">
        <v>14</v>
      </c>
      <c r="I96" s="4" t="n">
        <v>91.1</v>
      </c>
      <c r="J96" s="4" t="n">
        <v>2.92</v>
      </c>
      <c r="K96" s="4" t="n">
        <v>0</v>
      </c>
      <c r="L96" s="4" t="n">
        <v>4.6</v>
      </c>
      <c r="M96" s="4" t="n">
        <v>585937.48</v>
      </c>
      <c r="N96" s="4" t="n">
        <v>82624.2</v>
      </c>
    </row>
    <row r="97" customFormat="false" ht="15" hidden="false" customHeight="true" outlineLevel="0" collapsed="false">
      <c r="A97" s="4" t="s">
        <v>46</v>
      </c>
      <c r="B97" s="5" t="n">
        <v>45689</v>
      </c>
      <c r="C97" s="4" t="s">
        <v>28</v>
      </c>
      <c r="D97" s="4" t="s">
        <v>17</v>
      </c>
      <c r="E97" s="4" t="n">
        <v>67439.3</v>
      </c>
      <c r="F97" s="4" t="n">
        <v>6477</v>
      </c>
      <c r="G97" s="4" t="n">
        <v>0</v>
      </c>
      <c r="H97" s="4" t="n">
        <v>16</v>
      </c>
      <c r="I97" s="4" t="n">
        <v>90.9</v>
      </c>
      <c r="J97" s="4" t="n">
        <v>1.64</v>
      </c>
      <c r="K97" s="4" t="n">
        <v>0</v>
      </c>
      <c r="L97" s="4" t="n">
        <v>4.5</v>
      </c>
      <c r="M97" s="4" t="n">
        <v>753473.55</v>
      </c>
      <c r="N97" s="4" t="n">
        <v>151527.22</v>
      </c>
    </row>
    <row r="98" customFormat="false" ht="15" hidden="false" customHeight="true" outlineLevel="0" collapsed="false">
      <c r="A98" s="4" t="s">
        <v>46</v>
      </c>
      <c r="B98" s="5" t="n">
        <v>45717</v>
      </c>
      <c r="C98" s="4" t="s">
        <v>28</v>
      </c>
      <c r="D98" s="4" t="s">
        <v>17</v>
      </c>
      <c r="E98" s="4" t="n">
        <v>86421.88</v>
      </c>
      <c r="F98" s="4" t="n">
        <v>7970</v>
      </c>
      <c r="G98" s="4" t="n">
        <v>0.073</v>
      </c>
      <c r="H98" s="4" t="n">
        <v>17</v>
      </c>
      <c r="I98" s="4" t="n">
        <v>91.3</v>
      </c>
      <c r="J98" s="4" t="n">
        <v>0.8</v>
      </c>
      <c r="K98" s="4" t="n">
        <v>0</v>
      </c>
      <c r="L98" s="4" t="n">
        <v>5</v>
      </c>
      <c r="M98" s="4" t="n">
        <v>838250.32</v>
      </c>
      <c r="N98" s="4" t="n">
        <v>122939.34</v>
      </c>
    </row>
    <row r="99" customFormat="false" ht="15" hidden="false" customHeight="true" outlineLevel="0" collapsed="false">
      <c r="A99" s="4" t="s">
        <v>46</v>
      </c>
      <c r="B99" s="5" t="n">
        <v>45748</v>
      </c>
      <c r="C99" s="4" t="s">
        <v>28</v>
      </c>
      <c r="D99" s="4" t="s">
        <v>17</v>
      </c>
      <c r="E99" s="4" t="n">
        <v>9534.65</v>
      </c>
      <c r="F99" s="4" t="n">
        <v>6057</v>
      </c>
      <c r="G99" s="4" t="n">
        <v>0.074</v>
      </c>
      <c r="H99" s="4" t="n">
        <v>15</v>
      </c>
      <c r="I99" s="4" t="n">
        <v>94.1</v>
      </c>
      <c r="J99" s="4" t="n">
        <v>5.79</v>
      </c>
      <c r="K99" s="4" t="n">
        <v>0</v>
      </c>
      <c r="L99" s="4" t="n">
        <v>4.5</v>
      </c>
      <c r="M99" s="4" t="n">
        <v>607898.12</v>
      </c>
      <c r="N99" s="4" t="n">
        <v>135404.85</v>
      </c>
    </row>
    <row r="100" customFormat="false" ht="15" hidden="false" customHeight="true" outlineLevel="0" collapsed="false">
      <c r="A100" s="4" t="s">
        <v>47</v>
      </c>
      <c r="B100" s="5" t="n">
        <v>45658</v>
      </c>
      <c r="C100" s="4" t="s">
        <v>28</v>
      </c>
      <c r="D100" s="4" t="s">
        <v>29</v>
      </c>
      <c r="E100" s="4" t="n">
        <v>61132.07</v>
      </c>
      <c r="F100" s="4" t="n">
        <v>6394</v>
      </c>
      <c r="G100" s="4" t="n">
        <v>0.163</v>
      </c>
      <c r="H100" s="4" t="n">
        <v>19</v>
      </c>
      <c r="I100" s="4" t="n">
        <v>91</v>
      </c>
      <c r="J100" s="4" t="n">
        <v>19.6</v>
      </c>
      <c r="K100" s="4" t="n">
        <v>0</v>
      </c>
      <c r="L100" s="4" t="n">
        <v>4.4</v>
      </c>
      <c r="M100" s="4" t="n">
        <v>691113.62</v>
      </c>
      <c r="N100" s="4" t="n">
        <v>135145.44</v>
      </c>
    </row>
    <row r="101" customFormat="false" ht="15" hidden="false" customHeight="true" outlineLevel="0" collapsed="false">
      <c r="A101" s="4" t="s">
        <v>47</v>
      </c>
      <c r="B101" s="5" t="n">
        <v>45689</v>
      </c>
      <c r="C101" s="4" t="s">
        <v>28</v>
      </c>
      <c r="D101" s="4" t="s">
        <v>29</v>
      </c>
      <c r="E101" s="4" t="n">
        <v>78839.39</v>
      </c>
      <c r="F101" s="4" t="n">
        <v>5150</v>
      </c>
      <c r="G101" s="4" t="n">
        <v>0.171</v>
      </c>
      <c r="H101" s="4" t="n">
        <v>13</v>
      </c>
      <c r="I101" s="4" t="n">
        <v>85.8</v>
      </c>
      <c r="J101" s="4" t="n">
        <v>7.57</v>
      </c>
      <c r="K101" s="4" t="n">
        <v>0</v>
      </c>
      <c r="L101" s="4" t="n">
        <v>4.3</v>
      </c>
      <c r="M101" s="4" t="n">
        <v>735509.4</v>
      </c>
      <c r="N101" s="4" t="n">
        <v>83895.96</v>
      </c>
    </row>
    <row r="102" customFormat="false" ht="15" hidden="false" customHeight="true" outlineLevel="0" collapsed="false">
      <c r="A102" s="4" t="s">
        <v>47</v>
      </c>
      <c r="B102" s="5" t="n">
        <v>45717</v>
      </c>
      <c r="C102" s="4" t="s">
        <v>28</v>
      </c>
      <c r="D102" s="4" t="s">
        <v>29</v>
      </c>
      <c r="E102" s="4" t="n">
        <v>38752.8</v>
      </c>
      <c r="F102" s="4" t="n">
        <v>4712</v>
      </c>
      <c r="G102" s="4" t="n">
        <v>0.075</v>
      </c>
      <c r="H102" s="4" t="n">
        <v>15</v>
      </c>
      <c r="I102" s="4" t="n">
        <v>89.7</v>
      </c>
      <c r="J102" s="4"/>
      <c r="K102" s="4" t="n">
        <v>0</v>
      </c>
      <c r="L102" s="4" t="n">
        <v>4.3</v>
      </c>
      <c r="M102" s="4" t="n">
        <v>605775.33</v>
      </c>
      <c r="N102" s="4" t="n">
        <v>107194.6</v>
      </c>
    </row>
    <row r="103" customFormat="false" ht="15" hidden="false" customHeight="true" outlineLevel="0" collapsed="false">
      <c r="A103" s="4" t="s">
        <v>47</v>
      </c>
      <c r="B103" s="5" t="n">
        <v>45748</v>
      </c>
      <c r="C103" s="4" t="s">
        <v>28</v>
      </c>
      <c r="D103" s="4" t="s">
        <v>29</v>
      </c>
      <c r="E103" s="4" t="n">
        <v>55101.1</v>
      </c>
      <c r="F103" s="4" t="n">
        <v>5281</v>
      </c>
      <c r="G103" s="4" t="n">
        <v>0.189</v>
      </c>
      <c r="H103" s="4" t="n">
        <v>11</v>
      </c>
      <c r="I103" s="4" t="n">
        <v>91</v>
      </c>
      <c r="J103" s="4" t="n">
        <v>2.7</v>
      </c>
      <c r="K103" s="4" t="n">
        <v>0</v>
      </c>
      <c r="L103" s="4" t="n">
        <v>4.4</v>
      </c>
      <c r="M103" s="4" t="n">
        <v>675177.68</v>
      </c>
      <c r="N103" s="4" t="n">
        <v>105628.68</v>
      </c>
    </row>
    <row r="104" customFormat="false" ht="15" hidden="false" customHeight="true" outlineLevel="0" collapsed="false">
      <c r="A104" s="4" t="s">
        <v>48</v>
      </c>
      <c r="B104" s="5" t="n">
        <v>45658</v>
      </c>
      <c r="C104" s="4" t="s">
        <v>16</v>
      </c>
      <c r="D104" s="4" t="s">
        <v>29</v>
      </c>
      <c r="E104" s="4" t="n">
        <v>53084.76</v>
      </c>
      <c r="F104" s="4" t="n">
        <v>3642</v>
      </c>
      <c r="G104" s="4" t="n">
        <v>0.15</v>
      </c>
      <c r="H104" s="4" t="n">
        <v>12</v>
      </c>
      <c r="I104" s="4" t="n">
        <v>91.4</v>
      </c>
      <c r="J104" s="4" t="n">
        <v>0.2</v>
      </c>
      <c r="K104" s="4" t="n">
        <v>0</v>
      </c>
      <c r="L104" s="4" t="n">
        <v>4.4</v>
      </c>
      <c r="M104" s="4" t="n">
        <v>635181.35</v>
      </c>
      <c r="N104" s="4" t="n">
        <v>83341.25</v>
      </c>
    </row>
    <row r="105" customFormat="false" ht="15" hidden="false" customHeight="true" outlineLevel="0" collapsed="false">
      <c r="A105" s="4" t="s">
        <v>48</v>
      </c>
      <c r="B105" s="5" t="n">
        <v>45689</v>
      </c>
      <c r="C105" s="4" t="s">
        <v>16</v>
      </c>
      <c r="D105" s="4" t="s">
        <v>29</v>
      </c>
      <c r="E105" s="4" t="n">
        <v>63101.59</v>
      </c>
      <c r="F105" s="4" t="n">
        <v>4373</v>
      </c>
      <c r="G105" s="4" t="n">
        <v>0.173</v>
      </c>
      <c r="H105" s="4" t="n">
        <v>14</v>
      </c>
      <c r="I105" s="4" t="n">
        <v>90.4</v>
      </c>
      <c r="J105" s="4" t="n">
        <v>7.87</v>
      </c>
      <c r="K105" s="4" t="n">
        <v>0</v>
      </c>
      <c r="L105" s="4" t="n">
        <v>4.7</v>
      </c>
      <c r="M105" s="4" t="n">
        <v>586626.94</v>
      </c>
      <c r="N105" s="4" t="n">
        <v>86498.55</v>
      </c>
    </row>
    <row r="106" customFormat="false" ht="15" hidden="false" customHeight="true" outlineLevel="0" collapsed="false">
      <c r="A106" s="4" t="s">
        <v>48</v>
      </c>
      <c r="B106" s="5" t="n">
        <v>45717</v>
      </c>
      <c r="C106" s="4" t="s">
        <v>16</v>
      </c>
      <c r="D106" s="4" t="s">
        <v>29</v>
      </c>
      <c r="E106" s="4" t="n">
        <v>90084.4</v>
      </c>
      <c r="F106" s="4" t="n">
        <v>6832</v>
      </c>
      <c r="G106" s="4" t="n">
        <v>0.185</v>
      </c>
      <c r="H106" s="4" t="n">
        <v>14</v>
      </c>
      <c r="I106" s="4" t="n">
        <v>80.5</v>
      </c>
      <c r="J106" s="4" t="n">
        <v>0.77</v>
      </c>
      <c r="K106" s="4" t="n">
        <v>1</v>
      </c>
      <c r="L106" s="4" t="n">
        <v>4.4</v>
      </c>
      <c r="M106" s="4" t="n">
        <v>740102.64</v>
      </c>
      <c r="N106" s="4" t="n">
        <v>114299.07</v>
      </c>
    </row>
    <row r="107" customFormat="false" ht="15" hidden="false" customHeight="true" outlineLevel="0" collapsed="false">
      <c r="A107" s="4" t="s">
        <v>48</v>
      </c>
      <c r="B107" s="5" t="n">
        <v>45748</v>
      </c>
      <c r="C107" s="4" t="s">
        <v>16</v>
      </c>
      <c r="D107" s="4" t="s">
        <v>29</v>
      </c>
      <c r="E107" s="4" t="n">
        <v>32266.64</v>
      </c>
      <c r="F107" s="4" t="n">
        <v>2414</v>
      </c>
      <c r="G107" s="4" t="n">
        <v>0.08</v>
      </c>
      <c r="H107" s="4" t="n">
        <v>7</v>
      </c>
      <c r="I107" s="4" t="n">
        <v>92.1</v>
      </c>
      <c r="J107" s="4" t="n">
        <v>1.48</v>
      </c>
      <c r="K107" s="4" t="n">
        <v>0</v>
      </c>
      <c r="L107" s="4" t="n">
        <v>5</v>
      </c>
      <c r="M107" s="4" t="n">
        <v>625514.04</v>
      </c>
      <c r="N107" s="4" t="n">
        <v>120685.08</v>
      </c>
    </row>
    <row r="108" customFormat="false" ht="15" hidden="false" customHeight="true" outlineLevel="0" collapsed="false">
      <c r="A108" s="4" t="s">
        <v>49</v>
      </c>
      <c r="B108" s="5" t="n">
        <v>45658</v>
      </c>
      <c r="C108" s="4" t="s">
        <v>28</v>
      </c>
      <c r="D108" s="4" t="s">
        <v>19</v>
      </c>
      <c r="E108" s="4" t="n">
        <v>57919.07</v>
      </c>
      <c r="F108" s="4" t="n">
        <v>7374</v>
      </c>
      <c r="G108" s="4" t="n">
        <v>0.103</v>
      </c>
      <c r="H108" s="4" t="n">
        <v>21</v>
      </c>
      <c r="I108" s="4" t="n">
        <v>82.3</v>
      </c>
      <c r="J108" s="4" t="n">
        <v>2.87</v>
      </c>
      <c r="K108" s="4" t="n">
        <v>0</v>
      </c>
      <c r="L108" s="4" t="n">
        <v>2.9</v>
      </c>
      <c r="M108" s="4" t="n">
        <v>727227.2</v>
      </c>
      <c r="N108" s="4" t="n">
        <v>121292.01</v>
      </c>
    </row>
    <row r="109" customFormat="false" ht="15" hidden="false" customHeight="true" outlineLevel="0" collapsed="false">
      <c r="A109" s="4" t="s">
        <v>49</v>
      </c>
      <c r="B109" s="5" t="n">
        <v>45689</v>
      </c>
      <c r="C109" s="4" t="s">
        <v>28</v>
      </c>
      <c r="D109" s="4" t="s">
        <v>19</v>
      </c>
      <c r="E109" s="4" t="n">
        <v>74679.35</v>
      </c>
      <c r="F109" s="4" t="n">
        <v>8739</v>
      </c>
      <c r="G109" s="4" t="n">
        <v>0.056</v>
      </c>
      <c r="H109" s="4" t="n">
        <v>21</v>
      </c>
      <c r="I109" s="4" t="n">
        <v>91.8</v>
      </c>
      <c r="J109" s="4" t="n">
        <v>2.83</v>
      </c>
      <c r="K109" s="4" t="n">
        <v>0</v>
      </c>
      <c r="L109" s="4" t="n">
        <v>3</v>
      </c>
      <c r="M109" s="4" t="n">
        <v>783797.89</v>
      </c>
      <c r="N109" s="4" t="n">
        <v>157620.7</v>
      </c>
    </row>
    <row r="110" customFormat="false" ht="15" hidden="false" customHeight="true" outlineLevel="0" collapsed="false">
      <c r="A110" s="4" t="s">
        <v>49</v>
      </c>
      <c r="B110" s="5" t="n">
        <v>45717</v>
      </c>
      <c r="C110" s="4" t="s">
        <v>28</v>
      </c>
      <c r="D110" s="4" t="s">
        <v>19</v>
      </c>
      <c r="E110" s="4" t="n">
        <v>64294.23</v>
      </c>
      <c r="F110" s="4" t="n">
        <v>6992</v>
      </c>
      <c r="G110" s="4" t="n">
        <v>0.133</v>
      </c>
      <c r="H110" s="4" t="n">
        <v>14</v>
      </c>
      <c r="I110" s="4" t="n">
        <v>94.1</v>
      </c>
      <c r="J110" s="4" t="n">
        <v>0.25</v>
      </c>
      <c r="K110" s="4" t="n">
        <v>0</v>
      </c>
      <c r="L110" s="4" t="n">
        <v>3</v>
      </c>
      <c r="M110" s="4" t="n">
        <v>795153.84</v>
      </c>
      <c r="N110" s="4" t="n">
        <v>143194.21</v>
      </c>
    </row>
    <row r="111" customFormat="false" ht="15" hidden="false" customHeight="true" outlineLevel="0" collapsed="false">
      <c r="A111" s="4" t="s">
        <v>49</v>
      </c>
      <c r="B111" s="5" t="n">
        <v>45748</v>
      </c>
      <c r="C111" s="4" t="s">
        <v>28</v>
      </c>
      <c r="D111" s="4" t="s">
        <v>19</v>
      </c>
      <c r="E111" s="4" t="n">
        <v>31042.03</v>
      </c>
      <c r="F111" s="4" t="n">
        <v>7107</v>
      </c>
      <c r="G111" s="4" t="n">
        <v>0.051</v>
      </c>
      <c r="H111" s="4" t="n">
        <v>15</v>
      </c>
      <c r="I111" s="4" t="n">
        <v>87</v>
      </c>
      <c r="J111" s="4" t="n">
        <v>13.33</v>
      </c>
      <c r="K111" s="4" t="n">
        <v>0</v>
      </c>
      <c r="L111" s="4" t="n">
        <v>3.2</v>
      </c>
      <c r="M111" s="4" t="n">
        <v>665594.94</v>
      </c>
      <c r="N111" s="4" t="n">
        <v>127597.34</v>
      </c>
    </row>
    <row r="112" customFormat="false" ht="15" hidden="false" customHeight="true" outlineLevel="0" collapsed="false">
      <c r="A112" s="4" t="s">
        <v>50</v>
      </c>
      <c r="B112" s="5" t="n">
        <v>45658</v>
      </c>
      <c r="C112" s="4" t="s">
        <v>16</v>
      </c>
      <c r="D112" s="4" t="s">
        <v>29</v>
      </c>
      <c r="E112" s="4" t="n">
        <v>75265.02</v>
      </c>
      <c r="F112" s="4" t="n">
        <v>6975</v>
      </c>
      <c r="G112" s="4" t="n">
        <v>0.157</v>
      </c>
      <c r="H112" s="4" t="n">
        <v>20</v>
      </c>
      <c r="I112" s="4" t="n">
        <v>73.8</v>
      </c>
      <c r="J112" s="4" t="n">
        <v>6.35</v>
      </c>
      <c r="K112" s="4" t="n">
        <v>1</v>
      </c>
      <c r="L112" s="4" t="n">
        <v>3.8</v>
      </c>
      <c r="M112" s="4" t="n">
        <v>709478.39</v>
      </c>
      <c r="N112" s="4" t="n">
        <v>71294.27</v>
      </c>
    </row>
    <row r="113" customFormat="false" ht="15" hidden="false" customHeight="true" outlineLevel="0" collapsed="false">
      <c r="A113" s="4" t="s">
        <v>50</v>
      </c>
      <c r="B113" s="5" t="n">
        <v>45689</v>
      </c>
      <c r="C113" s="4" t="s">
        <v>16</v>
      </c>
      <c r="D113" s="4" t="s">
        <v>29</v>
      </c>
      <c r="E113" s="4" t="n">
        <v>69411.7</v>
      </c>
      <c r="F113" s="4" t="n">
        <v>5493</v>
      </c>
      <c r="G113" s="4" t="n">
        <v>0.292</v>
      </c>
      <c r="H113" s="4" t="n">
        <v>13</v>
      </c>
      <c r="I113" s="4" t="n">
        <v>86.5</v>
      </c>
      <c r="J113" s="4" t="n">
        <v>6.69</v>
      </c>
      <c r="K113" s="4" t="n">
        <v>0</v>
      </c>
      <c r="L113" s="4" t="n">
        <v>3.8</v>
      </c>
      <c r="M113" s="4" t="n">
        <v>664162.49</v>
      </c>
      <c r="N113" s="4" t="n">
        <v>98291.06</v>
      </c>
    </row>
    <row r="114" customFormat="false" ht="15" hidden="false" customHeight="true" outlineLevel="0" collapsed="false">
      <c r="A114" s="4" t="s">
        <v>50</v>
      </c>
      <c r="B114" s="5" t="n">
        <v>45717</v>
      </c>
      <c r="C114" s="4" t="s">
        <v>16</v>
      </c>
      <c r="D114" s="4" t="s">
        <v>29</v>
      </c>
      <c r="E114" s="4" t="n">
        <v>51056.15</v>
      </c>
      <c r="F114" s="4" t="n">
        <v>5686</v>
      </c>
      <c r="G114" s="4" t="n">
        <v>0.089</v>
      </c>
      <c r="H114" s="4" t="n">
        <v>13</v>
      </c>
      <c r="I114" s="4" t="n">
        <v>89.9</v>
      </c>
      <c r="J114" s="4" t="n">
        <v>1.28</v>
      </c>
      <c r="K114" s="4" t="n">
        <v>0</v>
      </c>
      <c r="L114" s="4" t="n">
        <v>4.2</v>
      </c>
      <c r="M114" s="4" t="n">
        <v>633494.21</v>
      </c>
      <c r="N114" s="4" t="n">
        <v>105739.47</v>
      </c>
    </row>
    <row r="115" customFormat="false" ht="15" hidden="false" customHeight="true" outlineLevel="0" collapsed="false">
      <c r="A115" s="4" t="s">
        <v>50</v>
      </c>
      <c r="B115" s="5" t="n">
        <v>45748</v>
      </c>
      <c r="C115" s="4" t="s">
        <v>16</v>
      </c>
      <c r="D115" s="4" t="s">
        <v>29</v>
      </c>
      <c r="E115" s="4" t="n">
        <v>52758.01</v>
      </c>
      <c r="F115" s="4" t="n">
        <v>4063</v>
      </c>
      <c r="G115" s="4" t="n">
        <v>0.057</v>
      </c>
      <c r="H115" s="4" t="n">
        <v>12</v>
      </c>
      <c r="I115" s="4" t="n">
        <v>91.7</v>
      </c>
      <c r="J115" s="4" t="n">
        <v>0.92</v>
      </c>
      <c r="K115" s="4" t="n">
        <v>0</v>
      </c>
      <c r="L115" s="4" t="n">
        <v>3.5</v>
      </c>
      <c r="M115" s="4" t="n">
        <v>713611.16</v>
      </c>
      <c r="N115" s="4" t="n">
        <v>129717.18</v>
      </c>
    </row>
    <row r="116" customFormat="false" ht="15" hidden="false" customHeight="true" outlineLevel="0" collapsed="false">
      <c r="A116" s="4" t="s">
        <v>51</v>
      </c>
      <c r="B116" s="5" t="n">
        <v>45658</v>
      </c>
      <c r="C116" s="4" t="s">
        <v>28</v>
      </c>
      <c r="D116" s="4" t="s">
        <v>29</v>
      </c>
      <c r="E116" s="4" t="n">
        <v>61426.04</v>
      </c>
      <c r="F116" s="4" t="n">
        <v>8966</v>
      </c>
      <c r="G116" s="4" t="n">
        <v>0.173</v>
      </c>
      <c r="H116" s="4" t="n">
        <v>22</v>
      </c>
      <c r="I116" s="4" t="n">
        <v>76.4</v>
      </c>
      <c r="J116" s="4" t="n">
        <v>1.05</v>
      </c>
      <c r="K116" s="4" t="n">
        <v>0</v>
      </c>
      <c r="L116" s="4" t="n">
        <v>3.1</v>
      </c>
      <c r="M116" s="4" t="n">
        <v>778397.97</v>
      </c>
      <c r="N116" s="4" t="n">
        <v>120044.41</v>
      </c>
    </row>
    <row r="117" customFormat="false" ht="15" hidden="false" customHeight="true" outlineLevel="0" collapsed="false">
      <c r="A117" s="4" t="s">
        <v>51</v>
      </c>
      <c r="B117" s="5" t="n">
        <v>45689</v>
      </c>
      <c r="C117" s="4" t="s">
        <v>28</v>
      </c>
      <c r="D117" s="4" t="s">
        <v>29</v>
      </c>
      <c r="E117" s="4" t="n">
        <v>80176.34</v>
      </c>
      <c r="F117" s="4" t="n">
        <v>9489</v>
      </c>
      <c r="G117" s="4" t="n">
        <v>0.142</v>
      </c>
      <c r="H117" s="4" t="n">
        <v>22</v>
      </c>
      <c r="I117" s="4" t="n">
        <v>94.3</v>
      </c>
      <c r="J117" s="4" t="n">
        <v>2.67</v>
      </c>
      <c r="K117" s="4" t="n">
        <v>0</v>
      </c>
      <c r="L117" s="4" t="n">
        <v>3.5</v>
      </c>
      <c r="M117" s="4" t="n">
        <v>873380.02</v>
      </c>
      <c r="N117" s="4" t="n">
        <v>149734.76</v>
      </c>
    </row>
    <row r="118" customFormat="false" ht="15" hidden="false" customHeight="true" outlineLevel="0" collapsed="false">
      <c r="A118" s="4" t="s">
        <v>51</v>
      </c>
      <c r="B118" s="5" t="n">
        <v>45717</v>
      </c>
      <c r="C118" s="4" t="s">
        <v>28</v>
      </c>
      <c r="D118" s="4" t="s">
        <v>29</v>
      </c>
      <c r="E118" s="4" t="n">
        <v>33605.18</v>
      </c>
      <c r="F118" s="4" t="n">
        <v>9225</v>
      </c>
      <c r="G118" s="4" t="n">
        <v>0.159</v>
      </c>
      <c r="H118" s="4" t="n">
        <v>23</v>
      </c>
      <c r="I118" s="4" t="n">
        <v>88.4</v>
      </c>
      <c r="J118" s="4" t="n">
        <v>5.91</v>
      </c>
      <c r="K118" s="4" t="n">
        <v>0</v>
      </c>
      <c r="L118" s="4" t="n">
        <v>2.8</v>
      </c>
      <c r="M118" s="4" t="n">
        <v>697287.9</v>
      </c>
      <c r="N118" s="4" t="n">
        <v>128208.33</v>
      </c>
    </row>
    <row r="119" customFormat="false" ht="15" hidden="false" customHeight="true" outlineLevel="0" collapsed="false">
      <c r="A119" s="4" t="s">
        <v>51</v>
      </c>
      <c r="B119" s="5" t="n">
        <v>45748</v>
      </c>
      <c r="C119" s="4" t="s">
        <v>28</v>
      </c>
      <c r="D119" s="4" t="s">
        <v>29</v>
      </c>
      <c r="E119" s="4" t="n">
        <v>25990.54</v>
      </c>
      <c r="F119" s="4" t="n">
        <v>9249</v>
      </c>
      <c r="G119" s="4" t="n">
        <v>0.139</v>
      </c>
      <c r="H119" s="4" t="n">
        <v>23</v>
      </c>
      <c r="I119" s="4" t="n">
        <v>92.5</v>
      </c>
      <c r="J119" s="4" t="n">
        <v>6.37</v>
      </c>
      <c r="K119" s="4" t="n">
        <v>0</v>
      </c>
      <c r="L119" s="4" t="n">
        <v>3.3</v>
      </c>
      <c r="M119" s="4" t="n">
        <v>718074.79</v>
      </c>
      <c r="N119" s="4" t="n">
        <v>115819.87</v>
      </c>
    </row>
    <row r="120" customFormat="false" ht="15" hidden="false" customHeight="true" outlineLevel="0" collapsed="false">
      <c r="A120" s="4" t="s">
        <v>52</v>
      </c>
      <c r="B120" s="5" t="n">
        <v>45658</v>
      </c>
      <c r="C120" s="4" t="s">
        <v>28</v>
      </c>
      <c r="D120" s="4" t="s">
        <v>17</v>
      </c>
      <c r="E120" s="4" t="n">
        <v>43685.14</v>
      </c>
      <c r="F120" s="4" t="n">
        <v>7821</v>
      </c>
      <c r="G120" s="4" t="n">
        <v>0.19</v>
      </c>
      <c r="H120" s="4" t="n">
        <v>17</v>
      </c>
      <c r="I120" s="4" t="n">
        <v>91</v>
      </c>
      <c r="J120" s="4" t="n">
        <v>2.49</v>
      </c>
      <c r="K120" s="4" t="n">
        <v>1</v>
      </c>
      <c r="L120" s="4" t="n">
        <v>4.7</v>
      </c>
      <c r="M120" s="4" t="n">
        <v>714942.43</v>
      </c>
      <c r="N120" s="4" t="n">
        <v>94697.71</v>
      </c>
    </row>
    <row r="121" customFormat="false" ht="15" hidden="false" customHeight="true" outlineLevel="0" collapsed="false">
      <c r="A121" s="4" t="s">
        <v>52</v>
      </c>
      <c r="B121" s="5" t="n">
        <v>45689</v>
      </c>
      <c r="C121" s="4" t="s">
        <v>28</v>
      </c>
      <c r="D121" s="4" t="s">
        <v>17</v>
      </c>
      <c r="E121" s="4" t="n">
        <v>57360.01</v>
      </c>
      <c r="F121" s="4" t="n">
        <v>8434</v>
      </c>
      <c r="G121" s="4" t="n">
        <v>0.151</v>
      </c>
      <c r="H121" s="4" t="n">
        <v>19</v>
      </c>
      <c r="I121" s="4" t="n">
        <v>84.1</v>
      </c>
      <c r="J121" s="4" t="n">
        <v>1.56</v>
      </c>
      <c r="K121" s="4" t="n">
        <v>0</v>
      </c>
      <c r="L121" s="4" t="n">
        <v>4.7</v>
      </c>
      <c r="M121" s="4" t="n">
        <v>820519.04</v>
      </c>
      <c r="N121" s="4" t="n">
        <v>99035.88</v>
      </c>
    </row>
    <row r="122" customFormat="false" ht="15" hidden="false" customHeight="true" outlineLevel="0" collapsed="false">
      <c r="A122" s="4" t="s">
        <v>52</v>
      </c>
      <c r="B122" s="5" t="n">
        <v>45717</v>
      </c>
      <c r="C122" s="4" t="s">
        <v>28</v>
      </c>
      <c r="D122" s="4" t="s">
        <v>17</v>
      </c>
      <c r="E122" s="4" t="n">
        <v>42415.47</v>
      </c>
      <c r="F122" s="4" t="n">
        <v>8512</v>
      </c>
      <c r="G122" s="4" t="n">
        <v>0.133</v>
      </c>
      <c r="H122" s="4" t="n">
        <v>18</v>
      </c>
      <c r="I122" s="4" t="n">
        <v>96.8</v>
      </c>
      <c r="J122" s="4" t="n">
        <v>14.95</v>
      </c>
      <c r="K122" s="4" t="n">
        <v>0</v>
      </c>
      <c r="L122" s="4" t="n">
        <v>4.6</v>
      </c>
      <c r="M122" s="4" t="n">
        <v>684217.32</v>
      </c>
      <c r="N122" s="4" t="n">
        <v>136217.19</v>
      </c>
    </row>
    <row r="123" customFormat="false" ht="15" hidden="false" customHeight="true" outlineLevel="0" collapsed="false">
      <c r="A123" s="4" t="s">
        <v>52</v>
      </c>
      <c r="B123" s="5" t="n">
        <v>45748</v>
      </c>
      <c r="C123" s="4" t="s">
        <v>28</v>
      </c>
      <c r="D123" s="4" t="s">
        <v>17</v>
      </c>
      <c r="E123" s="4" t="n">
        <v>54968.98</v>
      </c>
      <c r="F123" s="4" t="n">
        <v>7816</v>
      </c>
      <c r="G123" s="4" t="n">
        <v>0.232</v>
      </c>
      <c r="H123" s="4" t="n">
        <v>19</v>
      </c>
      <c r="I123" s="4" t="n">
        <v>95.7</v>
      </c>
      <c r="J123" s="4" t="n">
        <v>7.85</v>
      </c>
      <c r="K123" s="4" t="n">
        <v>0</v>
      </c>
      <c r="L123" s="4" t="n">
        <v>4.7</v>
      </c>
      <c r="M123" s="4" t="n">
        <v>735480.19</v>
      </c>
      <c r="N123" s="4" t="n">
        <v>88342.11</v>
      </c>
    </row>
    <row r="124" customFormat="false" ht="15" hidden="false" customHeight="true" outlineLevel="0" collapsed="false">
      <c r="A124" s="4" t="s">
        <v>53</v>
      </c>
      <c r="B124" s="5" t="n">
        <v>45658</v>
      </c>
      <c r="C124" s="4" t="s">
        <v>21</v>
      </c>
      <c r="D124" s="4" t="s">
        <v>19</v>
      </c>
      <c r="E124" s="4" t="n">
        <v>43896.13</v>
      </c>
      <c r="F124" s="4" t="n">
        <v>3853</v>
      </c>
      <c r="G124" s="4" t="n">
        <v>0.088</v>
      </c>
      <c r="H124" s="4" t="n">
        <v>13</v>
      </c>
      <c r="I124" s="4" t="n">
        <v>83</v>
      </c>
      <c r="J124" s="4" t="n">
        <v>6.8</v>
      </c>
      <c r="K124" s="4" t="n">
        <v>0</v>
      </c>
      <c r="L124" s="4" t="n">
        <v>4.4</v>
      </c>
      <c r="M124" s="4" t="n">
        <v>509484.81</v>
      </c>
      <c r="N124" s="4" t="n">
        <v>85742.36</v>
      </c>
    </row>
    <row r="125" customFormat="false" ht="15" hidden="false" customHeight="true" outlineLevel="0" collapsed="false">
      <c r="A125" s="4" t="s">
        <v>53</v>
      </c>
      <c r="B125" s="5" t="n">
        <v>45689</v>
      </c>
      <c r="C125" s="4" t="s">
        <v>21</v>
      </c>
      <c r="D125" s="4" t="s">
        <v>19</v>
      </c>
      <c r="E125" s="4" t="n">
        <v>83044.17</v>
      </c>
      <c r="F125" s="4" t="n">
        <v>3694</v>
      </c>
      <c r="G125" s="4" t="n">
        <v>0</v>
      </c>
      <c r="H125" s="4" t="n">
        <v>14</v>
      </c>
      <c r="I125" s="4" t="n">
        <v>89.4</v>
      </c>
      <c r="J125" s="4" t="n">
        <v>2.2</v>
      </c>
      <c r="K125" s="4" t="n">
        <v>0</v>
      </c>
      <c r="L125" s="4" t="n">
        <v>3.7</v>
      </c>
      <c r="M125" s="4" t="n">
        <v>654317.09</v>
      </c>
      <c r="N125" s="4" t="n">
        <v>121446.89</v>
      </c>
    </row>
    <row r="126" customFormat="false" ht="15" hidden="false" customHeight="true" outlineLevel="0" collapsed="false">
      <c r="A126" s="4" t="s">
        <v>53</v>
      </c>
      <c r="B126" s="5" t="n">
        <v>45717</v>
      </c>
      <c r="C126" s="4" t="s">
        <v>21</v>
      </c>
      <c r="D126" s="4" t="s">
        <v>19</v>
      </c>
      <c r="E126" s="4" t="n">
        <v>48396.13</v>
      </c>
      <c r="F126" s="4" t="n">
        <v>4423</v>
      </c>
      <c r="G126" s="4" t="n">
        <v>0.069</v>
      </c>
      <c r="H126" s="4" t="n">
        <v>15</v>
      </c>
      <c r="I126" s="4" t="n">
        <v>85.7</v>
      </c>
      <c r="J126" s="4" t="n">
        <v>1.88</v>
      </c>
      <c r="K126" s="4" t="n">
        <v>0</v>
      </c>
      <c r="L126" s="4" t="n">
        <v>3.9</v>
      </c>
      <c r="M126" s="4" t="n">
        <v>557487.26</v>
      </c>
      <c r="N126" s="4" t="n">
        <v>76432.19</v>
      </c>
    </row>
    <row r="127" customFormat="false" ht="15" hidden="false" customHeight="true" outlineLevel="0" collapsed="false">
      <c r="A127" s="4" t="s">
        <v>53</v>
      </c>
      <c r="B127" s="5" t="n">
        <v>45748</v>
      </c>
      <c r="C127" s="4" t="s">
        <v>21</v>
      </c>
      <c r="D127" s="4" t="s">
        <v>19</v>
      </c>
      <c r="E127" s="4" t="n">
        <v>19063.48</v>
      </c>
      <c r="F127" s="4" t="n">
        <v>1906</v>
      </c>
      <c r="G127" s="4" t="n">
        <v>0.216</v>
      </c>
      <c r="H127" s="4" t="n">
        <v>10</v>
      </c>
      <c r="I127" s="4" t="n">
        <v>97.8</v>
      </c>
      <c r="J127" s="4" t="n">
        <v>15.79</v>
      </c>
      <c r="K127" s="4" t="n">
        <v>0</v>
      </c>
      <c r="L127" s="4" t="n">
        <v>4.4</v>
      </c>
      <c r="M127" s="4" t="n">
        <v>441275.42</v>
      </c>
      <c r="N127" s="4" t="n">
        <v>58234.87</v>
      </c>
    </row>
    <row r="128" customFormat="false" ht="15" hidden="false" customHeight="true" outlineLevel="0" collapsed="false">
      <c r="A128" s="4" t="s">
        <v>54</v>
      </c>
      <c r="B128" s="5" t="n">
        <v>45658</v>
      </c>
      <c r="C128" s="4" t="s">
        <v>25</v>
      </c>
      <c r="D128" s="4" t="s">
        <v>19</v>
      </c>
      <c r="E128" s="4" t="n">
        <v>61541.21</v>
      </c>
      <c r="F128" s="4" t="n">
        <v>10396</v>
      </c>
      <c r="G128" s="4" t="n">
        <v>0.123</v>
      </c>
      <c r="H128" s="4" t="n">
        <v>25</v>
      </c>
      <c r="I128" s="4" t="n">
        <v>88.1</v>
      </c>
      <c r="J128" s="4" t="n">
        <v>2.34</v>
      </c>
      <c r="K128" s="4" t="n">
        <v>1</v>
      </c>
      <c r="L128" s="4" t="n">
        <v>4.8</v>
      </c>
      <c r="M128" s="4" t="n">
        <v>914544.17</v>
      </c>
      <c r="N128" s="4" t="n">
        <v>79831.73</v>
      </c>
    </row>
    <row r="129" customFormat="false" ht="15" hidden="false" customHeight="true" outlineLevel="0" collapsed="false">
      <c r="A129" s="4" t="s">
        <v>54</v>
      </c>
      <c r="B129" s="5" t="n">
        <v>45689</v>
      </c>
      <c r="C129" s="4" t="s">
        <v>25</v>
      </c>
      <c r="D129" s="4" t="s">
        <v>19</v>
      </c>
      <c r="E129" s="4" t="n">
        <v>44747</v>
      </c>
      <c r="F129" s="4" t="n">
        <v>11076</v>
      </c>
      <c r="G129" s="4" t="n">
        <v>0.176</v>
      </c>
      <c r="H129" s="4" t="n">
        <v>27</v>
      </c>
      <c r="I129" s="4" t="n">
        <v>98.3</v>
      </c>
      <c r="J129" s="4" t="n">
        <v>0.54</v>
      </c>
      <c r="K129" s="4" t="n">
        <v>0</v>
      </c>
      <c r="L129" s="4" t="n">
        <v>4.4</v>
      </c>
      <c r="M129" s="4" t="n">
        <v>842439.67</v>
      </c>
      <c r="N129" s="4" t="n">
        <v>169983.63</v>
      </c>
    </row>
    <row r="130" customFormat="false" ht="15" hidden="false" customHeight="true" outlineLevel="0" collapsed="false">
      <c r="A130" s="4" t="s">
        <v>54</v>
      </c>
      <c r="B130" s="5" t="n">
        <v>45717</v>
      </c>
      <c r="C130" s="4" t="s">
        <v>25</v>
      </c>
      <c r="D130" s="4" t="s">
        <v>19</v>
      </c>
      <c r="E130" s="4" t="n">
        <v>56517.9</v>
      </c>
      <c r="F130" s="4" t="n">
        <v>9574</v>
      </c>
      <c r="G130" s="4" t="n">
        <v>0.204</v>
      </c>
      <c r="H130" s="4" t="n">
        <v>20</v>
      </c>
      <c r="I130" s="4" t="n">
        <v>88.2</v>
      </c>
      <c r="J130" s="4" t="n">
        <v>5.37</v>
      </c>
      <c r="K130" s="4" t="n">
        <v>1</v>
      </c>
      <c r="L130" s="4" t="n">
        <v>4.9</v>
      </c>
      <c r="M130" s="4" t="n">
        <v>842157.92</v>
      </c>
      <c r="N130" s="4" t="n">
        <v>107348.22</v>
      </c>
    </row>
    <row r="131" customFormat="false" ht="15" hidden="false" customHeight="true" outlineLevel="0" collapsed="false">
      <c r="A131" s="4" t="s">
        <v>54</v>
      </c>
      <c r="B131" s="5" t="n">
        <v>45748</v>
      </c>
      <c r="C131" s="4" t="s">
        <v>25</v>
      </c>
      <c r="D131" s="4" t="s">
        <v>19</v>
      </c>
      <c r="E131" s="4" t="n">
        <v>37828.5</v>
      </c>
      <c r="F131" s="4" t="n">
        <v>8221</v>
      </c>
      <c r="G131" s="4" t="n">
        <v>0.096</v>
      </c>
      <c r="H131" s="4" t="n">
        <v>19</v>
      </c>
      <c r="I131" s="4" t="n">
        <v>81.5</v>
      </c>
      <c r="J131" s="4" t="n">
        <v>3.19</v>
      </c>
      <c r="K131" s="4" t="n">
        <v>0</v>
      </c>
      <c r="L131" s="4" t="n">
        <v>4.8</v>
      </c>
      <c r="M131" s="4" t="n">
        <v>697155.3</v>
      </c>
      <c r="N131" s="4" t="n">
        <v>136408.54</v>
      </c>
    </row>
    <row r="132" customFormat="false" ht="15" hidden="false" customHeight="true" outlineLevel="0" collapsed="false">
      <c r="A132" s="4" t="s">
        <v>55</v>
      </c>
      <c r="B132" s="5" t="n">
        <v>45658</v>
      </c>
      <c r="C132" s="4" t="s">
        <v>16</v>
      </c>
      <c r="D132" s="4" t="s">
        <v>19</v>
      </c>
      <c r="E132" s="4" t="n">
        <v>66250.53</v>
      </c>
      <c r="F132" s="4" t="n">
        <v>10618</v>
      </c>
      <c r="G132" s="4" t="n">
        <v>0.142</v>
      </c>
      <c r="H132" s="4" t="n">
        <v>27</v>
      </c>
      <c r="I132" s="4" t="n">
        <v>88.3</v>
      </c>
      <c r="J132" s="4" t="n">
        <v>1.1</v>
      </c>
      <c r="K132" s="4" t="n">
        <v>1</v>
      </c>
      <c r="L132" s="4" t="n">
        <v>4.4</v>
      </c>
      <c r="M132" s="4" t="n">
        <v>849018.3</v>
      </c>
      <c r="N132" s="4" t="n">
        <v>149035.13</v>
      </c>
    </row>
    <row r="133" customFormat="false" ht="15" hidden="false" customHeight="true" outlineLevel="0" collapsed="false">
      <c r="A133" s="4" t="s">
        <v>55</v>
      </c>
      <c r="B133" s="5" t="n">
        <v>45689</v>
      </c>
      <c r="C133" s="4" t="s">
        <v>16</v>
      </c>
      <c r="D133" s="4" t="s">
        <v>19</v>
      </c>
      <c r="E133" s="4" t="n">
        <v>68410.93</v>
      </c>
      <c r="F133" s="4" t="n">
        <v>10596</v>
      </c>
      <c r="G133" s="4" t="n">
        <v>0.207</v>
      </c>
      <c r="H133" s="4" t="n">
        <v>25</v>
      </c>
      <c r="I133" s="4" t="n">
        <v>81.2</v>
      </c>
      <c r="J133" s="4" t="n">
        <v>0.21</v>
      </c>
      <c r="K133" s="4" t="n">
        <v>0</v>
      </c>
      <c r="L133" s="4" t="n">
        <v>4</v>
      </c>
      <c r="M133" s="4" t="n">
        <v>801830.35</v>
      </c>
      <c r="N133" s="4" t="n">
        <v>114875.32</v>
      </c>
    </row>
    <row r="134" customFormat="false" ht="15" hidden="false" customHeight="true" outlineLevel="0" collapsed="false">
      <c r="A134" s="4" t="s">
        <v>55</v>
      </c>
      <c r="B134" s="5" t="n">
        <v>45717</v>
      </c>
      <c r="C134" s="4" t="s">
        <v>16</v>
      </c>
      <c r="D134" s="4" t="s">
        <v>19</v>
      </c>
      <c r="E134" s="4" t="n">
        <v>50735.63</v>
      </c>
      <c r="F134" s="4" t="n">
        <v>9619</v>
      </c>
      <c r="G134" s="4" t="n">
        <v>0.144</v>
      </c>
      <c r="H134" s="4" t="n">
        <v>19</v>
      </c>
      <c r="I134" s="4" t="n">
        <v>93.8</v>
      </c>
      <c r="J134" s="4" t="n">
        <v>5.12</v>
      </c>
      <c r="K134" s="4" t="n">
        <v>1</v>
      </c>
      <c r="L134" s="4" t="n">
        <v>4.5</v>
      </c>
      <c r="M134" s="4" t="n">
        <v>725235.28</v>
      </c>
      <c r="N134" s="4" t="n">
        <v>121632.24</v>
      </c>
    </row>
    <row r="135" customFormat="false" ht="15" hidden="false" customHeight="true" outlineLevel="0" collapsed="false">
      <c r="A135" s="4" t="s">
        <v>55</v>
      </c>
      <c r="B135" s="5" t="n">
        <v>45748</v>
      </c>
      <c r="C135" s="4" t="s">
        <v>16</v>
      </c>
      <c r="D135" s="4" t="s">
        <v>19</v>
      </c>
      <c r="E135" s="4" t="n">
        <v>66455.8</v>
      </c>
      <c r="F135" s="4" t="n">
        <v>10836</v>
      </c>
      <c r="G135" s="4" t="n">
        <v>0.089</v>
      </c>
      <c r="H135" s="4" t="n">
        <v>25</v>
      </c>
      <c r="I135" s="4" t="n">
        <v>85</v>
      </c>
      <c r="J135" s="4" t="n">
        <v>9.77</v>
      </c>
      <c r="K135" s="4" t="n">
        <v>0</v>
      </c>
      <c r="L135" s="4" t="n">
        <v>4.5</v>
      </c>
      <c r="M135" s="4" t="n">
        <v>811452.72</v>
      </c>
      <c r="N135" s="4" t="n">
        <v>131325.67</v>
      </c>
    </row>
    <row r="136" customFormat="false" ht="15" hidden="false" customHeight="true" outlineLevel="0" collapsed="false">
      <c r="A136" s="4" t="s">
        <v>56</v>
      </c>
      <c r="B136" s="5" t="n">
        <v>45658</v>
      </c>
      <c r="C136" s="4" t="s">
        <v>21</v>
      </c>
      <c r="D136" s="4" t="s">
        <v>19</v>
      </c>
      <c r="E136" s="4" t="n">
        <v>70276.28</v>
      </c>
      <c r="F136" s="4" t="n">
        <v>3043</v>
      </c>
      <c r="G136" s="4" t="n">
        <v>0.079</v>
      </c>
      <c r="H136" s="4" t="n">
        <v>9</v>
      </c>
      <c r="I136" s="4" t="n">
        <v>87.9</v>
      </c>
      <c r="J136" s="4" t="n">
        <v>3.77</v>
      </c>
      <c r="K136" s="4" t="n">
        <v>0</v>
      </c>
      <c r="L136" s="4" t="n">
        <v>4.4</v>
      </c>
      <c r="M136" s="4" t="n">
        <v>527300.13</v>
      </c>
      <c r="N136" s="4" t="n">
        <v>84197.87</v>
      </c>
    </row>
    <row r="137" customFormat="false" ht="15" hidden="false" customHeight="true" outlineLevel="0" collapsed="false">
      <c r="A137" s="4" t="s">
        <v>56</v>
      </c>
      <c r="B137" s="5" t="n">
        <v>45689</v>
      </c>
      <c r="C137" s="4" t="s">
        <v>21</v>
      </c>
      <c r="D137" s="4" t="s">
        <v>19</v>
      </c>
      <c r="E137" s="4" t="n">
        <v>22071.64</v>
      </c>
      <c r="F137" s="4" t="n">
        <v>1814</v>
      </c>
      <c r="G137" s="4" t="n">
        <v>0.196</v>
      </c>
      <c r="H137" s="4" t="n">
        <v>8</v>
      </c>
      <c r="I137" s="4" t="n">
        <v>81.1</v>
      </c>
      <c r="J137" s="4" t="n">
        <v>0.78</v>
      </c>
      <c r="K137" s="4" t="n">
        <v>0</v>
      </c>
      <c r="L137" s="4"/>
      <c r="M137" s="4" t="n">
        <v>400831.65</v>
      </c>
      <c r="N137" s="4" t="n">
        <v>70979.31</v>
      </c>
    </row>
    <row r="138" customFormat="false" ht="15" hidden="false" customHeight="true" outlineLevel="0" collapsed="false">
      <c r="A138" s="4" t="s">
        <v>56</v>
      </c>
      <c r="B138" s="5" t="n">
        <v>45717</v>
      </c>
      <c r="C138" s="4" t="s">
        <v>21</v>
      </c>
      <c r="D138" s="4" t="s">
        <v>19</v>
      </c>
      <c r="E138" s="4" t="n">
        <v>52285.45</v>
      </c>
      <c r="F138" s="4" t="n">
        <v>3618</v>
      </c>
      <c r="G138" s="4" t="n">
        <v>0.086</v>
      </c>
      <c r="H138" s="4" t="n">
        <v>11</v>
      </c>
      <c r="I138" s="4" t="n">
        <v>95.6</v>
      </c>
      <c r="J138" s="4" t="n">
        <v>5.17</v>
      </c>
      <c r="K138" s="4" t="n">
        <v>1</v>
      </c>
      <c r="L138" s="4" t="n">
        <v>4.4</v>
      </c>
      <c r="M138" s="4" t="n">
        <v>593247.25</v>
      </c>
      <c r="N138" s="4" t="n">
        <v>81240.29</v>
      </c>
    </row>
    <row r="139" customFormat="false" ht="15" hidden="false" customHeight="true" outlineLevel="0" collapsed="false">
      <c r="A139" s="4" t="s">
        <v>56</v>
      </c>
      <c r="B139" s="5" t="n">
        <v>45748</v>
      </c>
      <c r="C139" s="4" t="s">
        <v>21</v>
      </c>
      <c r="D139" s="4" t="s">
        <v>19</v>
      </c>
      <c r="E139" s="4" t="n">
        <v>70366.76</v>
      </c>
      <c r="F139" s="4" t="n">
        <v>1963</v>
      </c>
      <c r="G139" s="4" t="n">
        <v>0.182</v>
      </c>
      <c r="H139" s="4" t="n">
        <v>8</v>
      </c>
      <c r="I139" s="4" t="n">
        <v>89.8</v>
      </c>
      <c r="J139" s="4" t="n">
        <v>3.2</v>
      </c>
      <c r="K139" s="4" t="n">
        <v>0</v>
      </c>
      <c r="L139" s="4" t="n">
        <v>4.6</v>
      </c>
      <c r="M139" s="4" t="n">
        <v>529075.95</v>
      </c>
      <c r="N139" s="4" t="n">
        <v>95978.83</v>
      </c>
    </row>
    <row r="140" customFormat="false" ht="15" hidden="false" customHeight="true" outlineLevel="0" collapsed="false">
      <c r="A140" s="4" t="s">
        <v>57</v>
      </c>
      <c r="B140" s="5" t="n">
        <v>45658</v>
      </c>
      <c r="C140" s="4" t="s">
        <v>25</v>
      </c>
      <c r="D140" s="4" t="s">
        <v>17</v>
      </c>
      <c r="E140" s="4" t="n">
        <v>71320.66</v>
      </c>
      <c r="F140" s="4" t="n">
        <v>7888</v>
      </c>
      <c r="G140" s="4" t="n">
        <v>0.048</v>
      </c>
      <c r="H140" s="4" t="n">
        <v>20</v>
      </c>
      <c r="I140" s="4" t="n">
        <v>78.1</v>
      </c>
      <c r="J140" s="4" t="n">
        <v>3.4</v>
      </c>
      <c r="K140" s="4" t="n">
        <v>0</v>
      </c>
      <c r="L140" s="4"/>
      <c r="M140" s="4" t="n">
        <v>633638.03</v>
      </c>
      <c r="N140" s="4" t="n">
        <v>99402.01</v>
      </c>
    </row>
    <row r="141" customFormat="false" ht="15" hidden="false" customHeight="true" outlineLevel="0" collapsed="false">
      <c r="A141" s="4" t="s">
        <v>57</v>
      </c>
      <c r="B141" s="5" t="n">
        <v>45689</v>
      </c>
      <c r="C141" s="4" t="s">
        <v>25</v>
      </c>
      <c r="D141" s="4" t="s">
        <v>17</v>
      </c>
      <c r="E141" s="4" t="n">
        <v>75109.67</v>
      </c>
      <c r="F141" s="4" t="n">
        <v>6244</v>
      </c>
      <c r="G141" s="4" t="n">
        <v>0.079</v>
      </c>
      <c r="H141" s="4" t="n">
        <v>15</v>
      </c>
      <c r="I141" s="4" t="n">
        <v>96.3</v>
      </c>
      <c r="J141" s="4" t="n">
        <v>7.38</v>
      </c>
      <c r="K141" s="4" t="n">
        <v>0</v>
      </c>
      <c r="L141" s="4" t="n">
        <v>3.7</v>
      </c>
      <c r="M141" s="4" t="n">
        <v>743348.84</v>
      </c>
      <c r="N141" s="4" t="n">
        <v>104186.09</v>
      </c>
    </row>
    <row r="142" customFormat="false" ht="15" hidden="false" customHeight="true" outlineLevel="0" collapsed="false">
      <c r="A142" s="4" t="s">
        <v>57</v>
      </c>
      <c r="B142" s="5" t="n">
        <v>45717</v>
      </c>
      <c r="C142" s="4" t="s">
        <v>25</v>
      </c>
      <c r="D142" s="4" t="s">
        <v>17</v>
      </c>
      <c r="E142" s="4" t="n">
        <v>69779</v>
      </c>
      <c r="F142" s="4" t="n">
        <v>6544</v>
      </c>
      <c r="G142" s="4" t="n">
        <v>0.152</v>
      </c>
      <c r="H142" s="4" t="n">
        <v>18</v>
      </c>
      <c r="I142" s="4" t="n">
        <v>90.2</v>
      </c>
      <c r="J142" s="4" t="n">
        <v>0.85</v>
      </c>
      <c r="K142" s="4" t="n">
        <v>1</v>
      </c>
      <c r="L142" s="4" t="n">
        <v>3.3</v>
      </c>
      <c r="M142" s="4" t="n">
        <v>758827.64</v>
      </c>
      <c r="N142" s="4" t="n">
        <v>161439.48</v>
      </c>
    </row>
    <row r="143" customFormat="false" ht="15" hidden="false" customHeight="true" outlineLevel="0" collapsed="false">
      <c r="A143" s="4" t="s">
        <v>57</v>
      </c>
      <c r="B143" s="5" t="n">
        <v>45748</v>
      </c>
      <c r="C143" s="4" t="s">
        <v>25</v>
      </c>
      <c r="D143" s="4" t="s">
        <v>17</v>
      </c>
      <c r="E143" s="4" t="n">
        <v>44211.95</v>
      </c>
      <c r="F143" s="4" t="n">
        <v>5465</v>
      </c>
      <c r="G143" s="4" t="n">
        <v>0.187</v>
      </c>
      <c r="H143" s="4" t="n">
        <v>12</v>
      </c>
      <c r="I143" s="4" t="n">
        <v>90</v>
      </c>
      <c r="J143" s="4" t="n">
        <v>2.89</v>
      </c>
      <c r="K143" s="4" t="n">
        <v>0</v>
      </c>
      <c r="L143" s="4" t="n">
        <v>3.6</v>
      </c>
      <c r="M143" s="4" t="n">
        <v>646559.71</v>
      </c>
      <c r="N143" s="4" t="n">
        <v>97981.75</v>
      </c>
    </row>
    <row r="144" customFormat="false" ht="15" hidden="false" customHeight="true" outlineLevel="0" collapsed="false">
      <c r="A144" s="4" t="s">
        <v>58</v>
      </c>
      <c r="B144" s="5" t="n">
        <v>45658</v>
      </c>
      <c r="C144" s="4" t="s">
        <v>28</v>
      </c>
      <c r="D144" s="4" t="s">
        <v>19</v>
      </c>
      <c r="E144" s="4" t="n">
        <v>51430.31</v>
      </c>
      <c r="F144" s="4" t="n">
        <v>6427</v>
      </c>
      <c r="G144" s="4" t="n">
        <v>0.234</v>
      </c>
      <c r="H144" s="4" t="n">
        <v>14</v>
      </c>
      <c r="I144" s="4" t="n">
        <v>88.8</v>
      </c>
      <c r="J144" s="4" t="n">
        <v>0.77</v>
      </c>
      <c r="K144" s="4" t="n">
        <v>0</v>
      </c>
      <c r="L144" s="4" t="n">
        <v>4.1</v>
      </c>
      <c r="M144" s="4" t="n">
        <v>715890.53</v>
      </c>
      <c r="N144" s="4" t="n">
        <v>109032.15</v>
      </c>
    </row>
    <row r="145" customFormat="false" ht="15" hidden="false" customHeight="true" outlineLevel="0" collapsed="false">
      <c r="A145" s="4" t="s">
        <v>58</v>
      </c>
      <c r="B145" s="5" t="n">
        <v>45689</v>
      </c>
      <c r="C145" s="4" t="s">
        <v>28</v>
      </c>
      <c r="D145" s="4" t="s">
        <v>19</v>
      </c>
      <c r="E145" s="4" t="n">
        <v>45706.49</v>
      </c>
      <c r="F145" s="4" t="n">
        <v>6704</v>
      </c>
      <c r="G145" s="4" t="n">
        <v>0.038</v>
      </c>
      <c r="H145" s="4" t="n">
        <v>15</v>
      </c>
      <c r="I145" s="4" t="n">
        <v>94.2</v>
      </c>
      <c r="J145" s="4" t="n">
        <v>2.92</v>
      </c>
      <c r="K145" s="4" t="n">
        <v>0</v>
      </c>
      <c r="L145" s="4" t="n">
        <v>4.2</v>
      </c>
      <c r="M145" s="4" t="n">
        <v>715097.57</v>
      </c>
      <c r="N145" s="4" t="n">
        <v>151875.86</v>
      </c>
    </row>
    <row r="146" customFormat="false" ht="15" hidden="false" customHeight="true" outlineLevel="0" collapsed="false">
      <c r="A146" s="4" t="s">
        <v>58</v>
      </c>
      <c r="B146" s="5" t="n">
        <v>45717</v>
      </c>
      <c r="C146" s="4" t="s">
        <v>28</v>
      </c>
      <c r="D146" s="4" t="s">
        <v>19</v>
      </c>
      <c r="E146" s="4" t="n">
        <v>44034.6</v>
      </c>
      <c r="F146" s="4" t="n">
        <v>5645</v>
      </c>
      <c r="G146" s="4" t="n">
        <v>0.069</v>
      </c>
      <c r="H146" s="4" t="n">
        <v>18</v>
      </c>
      <c r="I146" s="4" t="n">
        <v>88.5</v>
      </c>
      <c r="J146" s="4" t="n">
        <v>3.07</v>
      </c>
      <c r="K146" s="4" t="n">
        <v>0</v>
      </c>
      <c r="L146" s="4" t="n">
        <v>3.8</v>
      </c>
      <c r="M146" s="4" t="n">
        <v>682639.28</v>
      </c>
      <c r="N146" s="4" t="n">
        <v>77557.53</v>
      </c>
    </row>
    <row r="147" customFormat="false" ht="15" hidden="false" customHeight="true" outlineLevel="0" collapsed="false">
      <c r="A147" s="4" t="s">
        <v>58</v>
      </c>
      <c r="B147" s="5" t="n">
        <v>45748</v>
      </c>
      <c r="C147" s="4" t="s">
        <v>28</v>
      </c>
      <c r="D147" s="4" t="s">
        <v>19</v>
      </c>
      <c r="E147" s="4" t="n">
        <v>50198.12</v>
      </c>
      <c r="F147" s="4" t="n">
        <v>6089</v>
      </c>
      <c r="G147" s="4" t="n">
        <v>0.182</v>
      </c>
      <c r="H147" s="4" t="n">
        <v>19</v>
      </c>
      <c r="I147" s="4" t="n">
        <v>94</v>
      </c>
      <c r="J147" s="4" t="n">
        <v>9.7</v>
      </c>
      <c r="K147" s="4" t="n">
        <v>0</v>
      </c>
      <c r="L147" s="4" t="n">
        <v>3.9</v>
      </c>
      <c r="M147" s="4" t="n">
        <v>695098.51</v>
      </c>
      <c r="N147" s="4" t="n">
        <v>108192.75</v>
      </c>
    </row>
    <row r="148" customFormat="false" ht="15" hidden="false" customHeight="true" outlineLevel="0" collapsed="false">
      <c r="A148" s="4" t="s">
        <v>59</v>
      </c>
      <c r="B148" s="5" t="n">
        <v>45658</v>
      </c>
      <c r="C148" s="4" t="s">
        <v>21</v>
      </c>
      <c r="D148" s="4" t="s">
        <v>17</v>
      </c>
      <c r="E148" s="4" t="n">
        <v>70488.2</v>
      </c>
      <c r="F148" s="4" t="n">
        <v>4312</v>
      </c>
      <c r="G148" s="4" t="n">
        <v>0.169</v>
      </c>
      <c r="H148" s="4" t="n">
        <v>12</v>
      </c>
      <c r="I148" s="4" t="n">
        <v>90.2</v>
      </c>
      <c r="J148" s="4" t="n">
        <v>3.71</v>
      </c>
      <c r="K148" s="4" t="n">
        <v>0</v>
      </c>
      <c r="L148" s="4" t="n">
        <v>3.2</v>
      </c>
      <c r="M148" s="4" t="n">
        <v>577732.57</v>
      </c>
      <c r="N148" s="4" t="n">
        <v>93804.27</v>
      </c>
    </row>
    <row r="149" customFormat="false" ht="15" hidden="false" customHeight="true" outlineLevel="0" collapsed="false">
      <c r="A149" s="4" t="s">
        <v>59</v>
      </c>
      <c r="B149" s="5" t="n">
        <v>45689</v>
      </c>
      <c r="C149" s="4" t="s">
        <v>21</v>
      </c>
      <c r="D149" s="4" t="s">
        <v>17</v>
      </c>
      <c r="E149" s="4" t="n">
        <v>50909.27</v>
      </c>
      <c r="F149" s="4" t="n">
        <v>3152</v>
      </c>
      <c r="G149" s="4" t="n">
        <v>0.06</v>
      </c>
      <c r="H149" s="4" t="n">
        <v>13</v>
      </c>
      <c r="I149" s="4" t="n">
        <v>93.7</v>
      </c>
      <c r="J149" s="4" t="n">
        <v>10.79</v>
      </c>
      <c r="K149" s="4" t="n">
        <v>0</v>
      </c>
      <c r="L149" s="4" t="n">
        <v>3.5</v>
      </c>
      <c r="M149" s="4" t="n">
        <v>537058.33</v>
      </c>
      <c r="N149" s="4" t="n">
        <v>93555.71</v>
      </c>
    </row>
    <row r="150" customFormat="false" ht="15" hidden="false" customHeight="true" outlineLevel="0" collapsed="false">
      <c r="A150" s="4" t="s">
        <v>59</v>
      </c>
      <c r="B150" s="5" t="n">
        <v>45717</v>
      </c>
      <c r="C150" s="4" t="s">
        <v>21</v>
      </c>
      <c r="D150" s="4" t="s">
        <v>17</v>
      </c>
      <c r="E150" s="4" t="n">
        <v>53351.7</v>
      </c>
      <c r="F150" s="4" t="n">
        <v>4259</v>
      </c>
      <c r="G150" s="4" t="n">
        <v>0.156</v>
      </c>
      <c r="H150" s="4" t="n">
        <v>15</v>
      </c>
      <c r="I150" s="4" t="n">
        <v>93.7</v>
      </c>
      <c r="J150" s="4" t="n">
        <v>6.03</v>
      </c>
      <c r="K150" s="4" t="n">
        <v>0</v>
      </c>
      <c r="L150" s="4" t="n">
        <v>3.4</v>
      </c>
      <c r="M150" s="4" t="n">
        <v>601568.87</v>
      </c>
      <c r="N150" s="4" t="n">
        <v>91634.82</v>
      </c>
    </row>
    <row r="151" customFormat="false" ht="15" hidden="false" customHeight="true" outlineLevel="0" collapsed="false">
      <c r="A151" s="4" t="s">
        <v>59</v>
      </c>
      <c r="B151" s="5" t="n">
        <v>45748</v>
      </c>
      <c r="C151" s="4" t="s">
        <v>21</v>
      </c>
      <c r="D151" s="4" t="s">
        <v>17</v>
      </c>
      <c r="E151" s="4" t="n">
        <v>60322.4</v>
      </c>
      <c r="F151" s="4" t="n">
        <v>3350</v>
      </c>
      <c r="G151" s="4" t="n">
        <v>0.108</v>
      </c>
      <c r="H151" s="4" t="n">
        <v>12</v>
      </c>
      <c r="I151" s="4" t="n">
        <v>89.4</v>
      </c>
      <c r="J151" s="4" t="n">
        <v>4.92</v>
      </c>
      <c r="K151" s="4" t="n">
        <v>0</v>
      </c>
      <c r="L151" s="4" t="n">
        <v>3.4</v>
      </c>
      <c r="M151" s="4" t="n">
        <v>570964.84</v>
      </c>
      <c r="N151" s="4" t="n">
        <v>81331.07</v>
      </c>
    </row>
    <row r="152" customFormat="false" ht="15" hidden="false" customHeight="true" outlineLevel="0" collapsed="false">
      <c r="A152" s="4" t="s">
        <v>60</v>
      </c>
      <c r="B152" s="5" t="n">
        <v>45658</v>
      </c>
      <c r="C152" s="4" t="s">
        <v>25</v>
      </c>
      <c r="D152" s="4" t="s">
        <v>29</v>
      </c>
      <c r="E152" s="4" t="n">
        <v>51575.68</v>
      </c>
      <c r="F152" s="4" t="n">
        <v>5329</v>
      </c>
      <c r="G152" s="4" t="n">
        <v>0.047</v>
      </c>
      <c r="H152" s="4" t="n">
        <v>17</v>
      </c>
      <c r="I152" s="4" t="n">
        <v>88.1</v>
      </c>
      <c r="J152" s="4" t="n">
        <v>19.78</v>
      </c>
      <c r="K152" s="4" t="n">
        <v>0</v>
      </c>
      <c r="L152" s="4" t="n">
        <v>3.8</v>
      </c>
      <c r="M152" s="4" t="n">
        <v>614024.91</v>
      </c>
      <c r="N152" s="4" t="n">
        <v>84828.93</v>
      </c>
    </row>
    <row r="153" customFormat="false" ht="15" hidden="false" customHeight="true" outlineLevel="0" collapsed="false">
      <c r="A153" s="4" t="s">
        <v>60</v>
      </c>
      <c r="B153" s="5" t="n">
        <v>45689</v>
      </c>
      <c r="C153" s="4" t="s">
        <v>25</v>
      </c>
      <c r="D153" s="4" t="s">
        <v>29</v>
      </c>
      <c r="E153" s="4" t="n">
        <v>43319.94</v>
      </c>
      <c r="F153" s="4" t="n">
        <v>6551</v>
      </c>
      <c r="G153" s="4" t="n">
        <v>0.044</v>
      </c>
      <c r="H153" s="4" t="n">
        <v>13</v>
      </c>
      <c r="I153" s="4" t="n">
        <v>99</v>
      </c>
      <c r="J153" s="4" t="n">
        <v>5.45</v>
      </c>
      <c r="K153" s="4" t="n">
        <v>0</v>
      </c>
      <c r="L153" s="4" t="n">
        <v>4.1</v>
      </c>
      <c r="M153" s="4" t="n">
        <v>712868.35</v>
      </c>
      <c r="N153" s="4" t="n">
        <v>133650.51</v>
      </c>
    </row>
    <row r="154" customFormat="false" ht="15" hidden="false" customHeight="true" outlineLevel="0" collapsed="false">
      <c r="A154" s="4" t="s">
        <v>60</v>
      </c>
      <c r="B154" s="5" t="n">
        <v>45717</v>
      </c>
      <c r="C154" s="4" t="s">
        <v>25</v>
      </c>
      <c r="D154" s="4" t="s">
        <v>29</v>
      </c>
      <c r="E154" s="4" t="n">
        <v>47093.55</v>
      </c>
      <c r="F154" s="4" t="n">
        <v>5550</v>
      </c>
      <c r="G154" s="4" t="n">
        <v>0.1</v>
      </c>
      <c r="H154" s="4" t="n">
        <v>12</v>
      </c>
      <c r="I154" s="4" t="n">
        <v>95</v>
      </c>
      <c r="J154" s="4" t="n">
        <v>2.33</v>
      </c>
      <c r="K154" s="4" t="n">
        <v>1</v>
      </c>
      <c r="L154" s="4" t="n">
        <v>3.7</v>
      </c>
      <c r="M154" s="4" t="n">
        <v>696744.15</v>
      </c>
      <c r="N154" s="4" t="n">
        <v>152230.09</v>
      </c>
    </row>
    <row r="155" customFormat="false" ht="15" hidden="false" customHeight="true" outlineLevel="0" collapsed="false">
      <c r="A155" s="4" t="s">
        <v>60</v>
      </c>
      <c r="B155" s="5" t="n">
        <v>45748</v>
      </c>
      <c r="C155" s="4" t="s">
        <v>25</v>
      </c>
      <c r="D155" s="4" t="s">
        <v>29</v>
      </c>
      <c r="E155" s="4" t="n">
        <v>71855.09</v>
      </c>
      <c r="F155" s="4" t="n">
        <v>5911</v>
      </c>
      <c r="G155" s="4" t="n">
        <v>0.197</v>
      </c>
      <c r="H155" s="4" t="n">
        <v>15</v>
      </c>
      <c r="I155" s="4" t="n">
        <v>94.3</v>
      </c>
      <c r="J155" s="4" t="n">
        <v>3.55</v>
      </c>
      <c r="K155" s="4" t="n">
        <v>0</v>
      </c>
      <c r="L155" s="4" t="n">
        <v>4.1</v>
      </c>
      <c r="M155" s="4" t="n">
        <v>725847.99</v>
      </c>
      <c r="N155" s="4" t="n">
        <v>122698.73</v>
      </c>
    </row>
    <row r="156" customFormat="false" ht="15" hidden="false" customHeight="true" outlineLevel="0" collapsed="false">
      <c r="A156" s="4" t="s">
        <v>61</v>
      </c>
      <c r="B156" s="5" t="n">
        <v>45658</v>
      </c>
      <c r="C156" s="4" t="s">
        <v>16</v>
      </c>
      <c r="D156" s="4" t="s">
        <v>19</v>
      </c>
      <c r="E156" s="4" t="n">
        <v>75645.23</v>
      </c>
      <c r="F156" s="4" t="n">
        <v>9674</v>
      </c>
      <c r="G156" s="4" t="n">
        <v>0.234</v>
      </c>
      <c r="H156" s="4" t="n">
        <v>21</v>
      </c>
      <c r="I156" s="4" t="n">
        <v>87.4</v>
      </c>
      <c r="J156" s="4" t="n">
        <v>0.2</v>
      </c>
      <c r="K156" s="4" t="n">
        <v>0</v>
      </c>
      <c r="L156" s="4" t="n">
        <v>4.5</v>
      </c>
      <c r="M156" s="4" t="n">
        <v>785028.25</v>
      </c>
      <c r="N156" s="4" t="n">
        <v>110726.44</v>
      </c>
    </row>
    <row r="157" customFormat="false" ht="15" hidden="false" customHeight="true" outlineLevel="0" collapsed="false">
      <c r="A157" s="4" t="s">
        <v>61</v>
      </c>
      <c r="B157" s="5" t="n">
        <v>45689</v>
      </c>
      <c r="C157" s="4" t="s">
        <v>16</v>
      </c>
      <c r="D157" s="4" t="s">
        <v>19</v>
      </c>
      <c r="E157" s="4" t="n">
        <v>64374.75</v>
      </c>
      <c r="F157" s="4" t="n">
        <v>6740</v>
      </c>
      <c r="G157" s="4" t="n">
        <v>0.169</v>
      </c>
      <c r="H157" s="4" t="n">
        <v>18</v>
      </c>
      <c r="I157" s="4" t="n">
        <v>87</v>
      </c>
      <c r="J157" s="4" t="n">
        <v>2.09</v>
      </c>
      <c r="K157" s="4" t="n">
        <v>0</v>
      </c>
      <c r="L157" s="4" t="n">
        <v>4.2</v>
      </c>
      <c r="M157" s="4" t="n">
        <v>698492.67</v>
      </c>
      <c r="N157" s="4" t="n">
        <v>117319.32</v>
      </c>
    </row>
    <row r="158" customFormat="false" ht="15" hidden="false" customHeight="true" outlineLevel="0" collapsed="false">
      <c r="A158" s="4" t="s">
        <v>61</v>
      </c>
      <c r="B158" s="5" t="n">
        <v>45717</v>
      </c>
      <c r="C158" s="4" t="s">
        <v>16</v>
      </c>
      <c r="D158" s="4" t="s">
        <v>19</v>
      </c>
      <c r="E158" s="4" t="n">
        <v>61433.84</v>
      </c>
      <c r="F158" s="4" t="n">
        <v>7745</v>
      </c>
      <c r="G158" s="4" t="n">
        <v>0.18</v>
      </c>
      <c r="H158" s="4" t="n">
        <v>16</v>
      </c>
      <c r="I158" s="4" t="n">
        <v>90.5</v>
      </c>
      <c r="J158" s="4" t="n">
        <v>2.26</v>
      </c>
      <c r="K158" s="4" t="n">
        <v>0</v>
      </c>
      <c r="L158" s="4" t="n">
        <v>4.2</v>
      </c>
      <c r="M158" s="4" t="n">
        <v>685830.24</v>
      </c>
      <c r="N158" s="4" t="n">
        <v>128736.18</v>
      </c>
    </row>
    <row r="159" customFormat="false" ht="15" hidden="false" customHeight="true" outlineLevel="0" collapsed="false">
      <c r="A159" s="4" t="s">
        <v>61</v>
      </c>
      <c r="B159" s="5" t="n">
        <v>45748</v>
      </c>
      <c r="C159" s="4" t="s">
        <v>16</v>
      </c>
      <c r="D159" s="4" t="s">
        <v>19</v>
      </c>
      <c r="E159" s="4" t="n">
        <v>42698.14</v>
      </c>
      <c r="F159" s="4" t="n">
        <v>7693</v>
      </c>
      <c r="G159" s="4" t="n">
        <v>0.187</v>
      </c>
      <c r="H159" s="4" t="n">
        <v>19</v>
      </c>
      <c r="I159" s="4" t="n">
        <v>90.1</v>
      </c>
      <c r="J159" s="4" t="n">
        <v>0.44</v>
      </c>
      <c r="K159" s="4" t="n">
        <v>0</v>
      </c>
      <c r="L159" s="4" t="n">
        <v>4.4</v>
      </c>
      <c r="M159" s="4" t="n">
        <v>702318.94</v>
      </c>
      <c r="N159" s="4" t="n">
        <v>112829.29</v>
      </c>
    </row>
    <row r="160" customFormat="false" ht="15" hidden="false" customHeight="true" outlineLevel="0" collapsed="false">
      <c r="A160" s="4" t="s">
        <v>62</v>
      </c>
      <c r="B160" s="5" t="n">
        <v>45658</v>
      </c>
      <c r="C160" s="4" t="s">
        <v>21</v>
      </c>
      <c r="D160" s="4" t="s">
        <v>29</v>
      </c>
      <c r="E160" s="4" t="n">
        <v>86883.31</v>
      </c>
      <c r="F160" s="4" t="n">
        <v>6424</v>
      </c>
      <c r="G160" s="4" t="n">
        <v>0.057</v>
      </c>
      <c r="H160" s="4" t="n">
        <v>19</v>
      </c>
      <c r="I160" s="4" t="n">
        <v>85.2</v>
      </c>
      <c r="J160" s="4" t="n">
        <v>3.08</v>
      </c>
      <c r="K160" s="4" t="n">
        <v>0</v>
      </c>
      <c r="L160" s="4" t="n">
        <v>3.9</v>
      </c>
      <c r="M160" s="4" t="n">
        <v>700078.32</v>
      </c>
      <c r="N160" s="4" t="n">
        <v>123707.58</v>
      </c>
    </row>
    <row r="161" customFormat="false" ht="15" hidden="false" customHeight="true" outlineLevel="0" collapsed="false">
      <c r="A161" s="4" t="s">
        <v>62</v>
      </c>
      <c r="B161" s="5" t="n">
        <v>45689</v>
      </c>
      <c r="C161" s="4" t="s">
        <v>21</v>
      </c>
      <c r="D161" s="4" t="s">
        <v>29</v>
      </c>
      <c r="E161" s="4" t="n">
        <v>41863.08</v>
      </c>
      <c r="F161" s="4" t="n">
        <v>5400</v>
      </c>
      <c r="G161" s="4" t="n">
        <v>0.114</v>
      </c>
      <c r="H161" s="4" t="n">
        <v>11</v>
      </c>
      <c r="I161" s="4" t="n">
        <v>91.6</v>
      </c>
      <c r="J161" s="4" t="n">
        <v>7.99</v>
      </c>
      <c r="K161" s="4" t="n">
        <v>0</v>
      </c>
      <c r="L161" s="4" t="n">
        <v>3</v>
      </c>
      <c r="M161" s="4" t="n">
        <v>602002.32</v>
      </c>
      <c r="N161" s="4" t="n">
        <v>110453.28</v>
      </c>
    </row>
    <row r="162" customFormat="false" ht="15" hidden="false" customHeight="true" outlineLevel="0" collapsed="false">
      <c r="A162" s="4" t="s">
        <v>62</v>
      </c>
      <c r="B162" s="5" t="n">
        <v>45717</v>
      </c>
      <c r="C162" s="4" t="s">
        <v>21</v>
      </c>
      <c r="D162" s="4" t="s">
        <v>29</v>
      </c>
      <c r="E162" s="4" t="n">
        <v>56918.16</v>
      </c>
      <c r="F162" s="4" t="n">
        <v>7015</v>
      </c>
      <c r="G162" s="4" t="n">
        <v>0.158</v>
      </c>
      <c r="H162" s="4" t="n">
        <v>18</v>
      </c>
      <c r="I162" s="4" t="n">
        <v>74.2</v>
      </c>
      <c r="J162" s="4" t="n">
        <v>0.2</v>
      </c>
      <c r="K162" s="4" t="n">
        <v>0</v>
      </c>
      <c r="L162" s="4" t="n">
        <v>3.4</v>
      </c>
      <c r="M162" s="4" t="n">
        <v>724216.07</v>
      </c>
      <c r="N162" s="4" t="n">
        <v>100627.56</v>
      </c>
    </row>
    <row r="163" customFormat="false" ht="15" hidden="false" customHeight="true" outlineLevel="0" collapsed="false">
      <c r="A163" s="4" t="s">
        <v>62</v>
      </c>
      <c r="B163" s="5" t="n">
        <v>45748</v>
      </c>
      <c r="C163" s="4" t="s">
        <v>21</v>
      </c>
      <c r="D163" s="4" t="s">
        <v>29</v>
      </c>
      <c r="E163" s="4" t="n">
        <v>23254.57</v>
      </c>
      <c r="F163" s="4" t="n">
        <v>3847</v>
      </c>
      <c r="G163" s="4" t="n">
        <v>0.159</v>
      </c>
      <c r="H163" s="4" t="n">
        <v>12</v>
      </c>
      <c r="I163" s="4" t="n">
        <v>93</v>
      </c>
      <c r="J163" s="4" t="n">
        <v>5.46</v>
      </c>
      <c r="K163" s="4" t="n">
        <v>0</v>
      </c>
      <c r="L163" s="4" t="n">
        <v>3.3</v>
      </c>
      <c r="M163" s="4" t="n">
        <v>620973.03</v>
      </c>
      <c r="N163" s="4" t="n">
        <v>72303.85</v>
      </c>
    </row>
    <row r="164" customFormat="false" ht="15" hidden="false" customHeight="true" outlineLevel="0" collapsed="false">
      <c r="A164" s="4" t="s">
        <v>63</v>
      </c>
      <c r="B164" s="5" t="n">
        <v>45658</v>
      </c>
      <c r="C164" s="4" t="s">
        <v>25</v>
      </c>
      <c r="D164" s="4" t="s">
        <v>19</v>
      </c>
      <c r="E164" s="4" t="n">
        <v>41443.41</v>
      </c>
      <c r="F164" s="4" t="n">
        <v>7455</v>
      </c>
      <c r="G164" s="4" t="n">
        <v>0.175</v>
      </c>
      <c r="H164" s="4" t="n">
        <v>16</v>
      </c>
      <c r="I164" s="4" t="n">
        <v>90.1</v>
      </c>
      <c r="J164" s="4" t="n">
        <v>4.05</v>
      </c>
      <c r="K164" s="4" t="n">
        <v>0</v>
      </c>
      <c r="L164" s="4" t="n">
        <v>4</v>
      </c>
      <c r="M164" s="4" t="n">
        <v>650480.06</v>
      </c>
      <c r="N164" s="4" t="n">
        <v>109012.07</v>
      </c>
    </row>
    <row r="165" customFormat="false" ht="15" hidden="false" customHeight="true" outlineLevel="0" collapsed="false">
      <c r="A165" s="4" t="s">
        <v>63</v>
      </c>
      <c r="B165" s="5" t="n">
        <v>45689</v>
      </c>
      <c r="C165" s="4" t="s">
        <v>25</v>
      </c>
      <c r="D165" s="4" t="s">
        <v>19</v>
      </c>
      <c r="E165" s="4" t="n">
        <v>48438.85</v>
      </c>
      <c r="F165" s="4" t="n">
        <v>6992</v>
      </c>
      <c r="G165" s="4" t="n">
        <v>0.034</v>
      </c>
      <c r="H165" s="4" t="n">
        <v>20</v>
      </c>
      <c r="I165" s="4" t="n">
        <v>91</v>
      </c>
      <c r="J165" s="4" t="n">
        <v>4.36</v>
      </c>
      <c r="K165" s="4" t="n">
        <v>0</v>
      </c>
      <c r="L165" s="4" t="n">
        <v>4.2</v>
      </c>
      <c r="M165" s="4" t="n">
        <v>778298.88</v>
      </c>
      <c r="N165" s="4" t="n">
        <v>130076.72</v>
      </c>
    </row>
    <row r="166" customFormat="false" ht="15" hidden="false" customHeight="true" outlineLevel="0" collapsed="false">
      <c r="A166" s="4" t="s">
        <v>63</v>
      </c>
      <c r="B166" s="5" t="n">
        <v>45717</v>
      </c>
      <c r="C166" s="4" t="s">
        <v>25</v>
      </c>
      <c r="D166" s="4" t="s">
        <v>19</v>
      </c>
      <c r="E166" s="4" t="n">
        <v>57143.3</v>
      </c>
      <c r="F166" s="4" t="n">
        <v>8038</v>
      </c>
      <c r="G166" s="4" t="n">
        <v>0.193</v>
      </c>
      <c r="H166" s="4" t="n">
        <v>17</v>
      </c>
      <c r="I166" s="4" t="n">
        <v>72.6</v>
      </c>
      <c r="J166" s="4"/>
      <c r="K166" s="4" t="n">
        <v>0</v>
      </c>
      <c r="L166" s="4" t="n">
        <v>4.2</v>
      </c>
      <c r="M166" s="4" t="n">
        <v>677096.71</v>
      </c>
      <c r="N166" s="4" t="n">
        <v>97174.11</v>
      </c>
    </row>
    <row r="167" customFormat="false" ht="15" hidden="false" customHeight="true" outlineLevel="0" collapsed="false">
      <c r="A167" s="4" t="s">
        <v>63</v>
      </c>
      <c r="B167" s="5" t="n">
        <v>45748</v>
      </c>
      <c r="C167" s="4" t="s">
        <v>25</v>
      </c>
      <c r="D167" s="4" t="s">
        <v>19</v>
      </c>
      <c r="E167" s="4" t="n">
        <v>66870.62</v>
      </c>
      <c r="F167" s="4" t="n">
        <v>6055</v>
      </c>
      <c r="G167" s="4" t="n">
        <v>0.075</v>
      </c>
      <c r="H167" s="4" t="n">
        <v>19</v>
      </c>
      <c r="I167" s="4" t="n">
        <v>93.8</v>
      </c>
      <c r="J167" s="4" t="n">
        <v>0.54</v>
      </c>
      <c r="K167" s="4" t="n">
        <v>0</v>
      </c>
      <c r="L167" s="4" t="n">
        <v>4.3</v>
      </c>
      <c r="M167" s="4" t="n">
        <v>692008.64</v>
      </c>
      <c r="N167" s="4" t="n">
        <v>116337.87</v>
      </c>
    </row>
    <row r="168" customFormat="false" ht="15" hidden="false" customHeight="true" outlineLevel="0" collapsed="false">
      <c r="A168" s="4" t="s">
        <v>64</v>
      </c>
      <c r="B168" s="5" t="n">
        <v>45658</v>
      </c>
      <c r="C168" s="4" t="s">
        <v>21</v>
      </c>
      <c r="D168" s="4" t="s">
        <v>29</v>
      </c>
      <c r="E168" s="4" t="n">
        <v>72150.53</v>
      </c>
      <c r="F168" s="4" t="n">
        <v>9323</v>
      </c>
      <c r="G168" s="4" t="n">
        <v>0.157</v>
      </c>
      <c r="H168" s="4" t="n">
        <v>22</v>
      </c>
      <c r="I168" s="4" t="n">
        <v>82.9</v>
      </c>
      <c r="J168" s="4" t="n">
        <v>11.37</v>
      </c>
      <c r="K168" s="4" t="n">
        <v>1</v>
      </c>
      <c r="L168" s="4" t="n">
        <v>4.3</v>
      </c>
      <c r="M168" s="4" t="n">
        <v>825797.91</v>
      </c>
      <c r="N168" s="4" t="n">
        <v>130945.24</v>
      </c>
    </row>
    <row r="169" customFormat="false" ht="15" hidden="false" customHeight="true" outlineLevel="0" collapsed="false">
      <c r="A169" s="4" t="s">
        <v>64</v>
      </c>
      <c r="B169" s="5" t="n">
        <v>45689</v>
      </c>
      <c r="C169" s="4" t="s">
        <v>21</v>
      </c>
      <c r="D169" s="4" t="s">
        <v>29</v>
      </c>
      <c r="E169" s="4" t="n">
        <v>35303.3</v>
      </c>
      <c r="F169" s="4" t="n">
        <v>8789</v>
      </c>
      <c r="G169" s="4" t="n">
        <v>0.123</v>
      </c>
      <c r="H169" s="4" t="n">
        <v>22</v>
      </c>
      <c r="I169" s="4" t="n">
        <v>86.1</v>
      </c>
      <c r="J169" s="4" t="n">
        <v>9.43</v>
      </c>
      <c r="K169" s="4" t="n">
        <v>0</v>
      </c>
      <c r="L169" s="4" t="n">
        <v>4.2</v>
      </c>
      <c r="M169" s="4" t="n">
        <v>706285.52</v>
      </c>
      <c r="N169" s="4" t="n">
        <v>138014.72</v>
      </c>
    </row>
    <row r="170" customFormat="false" ht="15" hidden="false" customHeight="true" outlineLevel="0" collapsed="false">
      <c r="A170" s="4" t="s">
        <v>64</v>
      </c>
      <c r="B170" s="5" t="n">
        <v>45717</v>
      </c>
      <c r="C170" s="4" t="s">
        <v>21</v>
      </c>
      <c r="D170" s="4" t="s">
        <v>29</v>
      </c>
      <c r="E170" s="4" t="n">
        <v>30301.86</v>
      </c>
      <c r="F170" s="4" t="n">
        <v>6939</v>
      </c>
      <c r="G170" s="4" t="n">
        <v>0.09</v>
      </c>
      <c r="H170" s="4" t="n">
        <v>16</v>
      </c>
      <c r="I170" s="4" t="n">
        <v>90.3</v>
      </c>
      <c r="J170" s="4" t="n">
        <v>3.49</v>
      </c>
      <c r="K170" s="4" t="n">
        <v>0</v>
      </c>
      <c r="L170" s="4" t="n">
        <v>4</v>
      </c>
      <c r="M170" s="4" t="n">
        <v>665534.7</v>
      </c>
      <c r="N170" s="4" t="n">
        <v>113167.73</v>
      </c>
    </row>
    <row r="171" customFormat="false" ht="15" hidden="false" customHeight="true" outlineLevel="0" collapsed="false">
      <c r="A171" s="4" t="s">
        <v>64</v>
      </c>
      <c r="B171" s="5" t="n">
        <v>45748</v>
      </c>
      <c r="C171" s="4" t="s">
        <v>21</v>
      </c>
      <c r="D171" s="4" t="s">
        <v>29</v>
      </c>
      <c r="E171" s="4" t="n">
        <v>78432.14</v>
      </c>
      <c r="F171" s="4" t="n">
        <v>9440</v>
      </c>
      <c r="G171" s="4" t="n">
        <v>0.126</v>
      </c>
      <c r="H171" s="4" t="n">
        <v>23</v>
      </c>
      <c r="I171" s="4" t="n">
        <v>89.2</v>
      </c>
      <c r="J171" s="4" t="n">
        <v>7.86</v>
      </c>
      <c r="K171" s="4" t="n">
        <v>0</v>
      </c>
      <c r="L171" s="4" t="n">
        <v>4.1</v>
      </c>
      <c r="M171" s="4" t="n">
        <v>820729.29</v>
      </c>
      <c r="N171" s="4" t="n">
        <v>159325.47</v>
      </c>
    </row>
    <row r="172" customFormat="false" ht="15" hidden="false" customHeight="true" outlineLevel="0" collapsed="false">
      <c r="A172" s="4" t="s">
        <v>65</v>
      </c>
      <c r="B172" s="5" t="n">
        <v>45658</v>
      </c>
      <c r="C172" s="4" t="s">
        <v>16</v>
      </c>
      <c r="D172" s="4" t="s">
        <v>17</v>
      </c>
      <c r="E172" s="4" t="n">
        <v>62059.18</v>
      </c>
      <c r="F172" s="4" t="n">
        <v>9374</v>
      </c>
      <c r="G172" s="4" t="n">
        <v>0.136</v>
      </c>
      <c r="H172" s="4" t="n">
        <v>25</v>
      </c>
      <c r="I172" s="4" t="n">
        <v>87.1</v>
      </c>
      <c r="J172" s="4" t="n">
        <v>12.55</v>
      </c>
      <c r="K172" s="4" t="n">
        <v>0</v>
      </c>
      <c r="L172" s="4" t="n">
        <v>4.9</v>
      </c>
      <c r="M172" s="4" t="n">
        <v>739831.73</v>
      </c>
      <c r="N172" s="4" t="n">
        <v>119490.21</v>
      </c>
    </row>
    <row r="173" customFormat="false" ht="15" hidden="false" customHeight="true" outlineLevel="0" collapsed="false">
      <c r="A173" s="4" t="s">
        <v>65</v>
      </c>
      <c r="B173" s="5" t="n">
        <v>45689</v>
      </c>
      <c r="C173" s="4" t="s">
        <v>16</v>
      </c>
      <c r="D173" s="4" t="s">
        <v>17</v>
      </c>
      <c r="E173" s="4" t="n">
        <v>32834.48</v>
      </c>
      <c r="F173" s="4" t="n">
        <v>7576</v>
      </c>
      <c r="G173" s="4" t="n">
        <v>0.099</v>
      </c>
      <c r="H173" s="4" t="n">
        <v>15</v>
      </c>
      <c r="I173" s="4" t="n">
        <v>84.1</v>
      </c>
      <c r="J173" s="4" t="n">
        <v>3.48</v>
      </c>
      <c r="K173" s="4" t="n">
        <v>0</v>
      </c>
      <c r="L173" s="4" t="n">
        <v>5</v>
      </c>
      <c r="M173" s="4" t="n">
        <v>593637.14</v>
      </c>
      <c r="N173" s="4" t="n">
        <v>106648.14</v>
      </c>
    </row>
    <row r="174" customFormat="false" ht="15" hidden="false" customHeight="true" outlineLevel="0" collapsed="false">
      <c r="A174" s="4" t="s">
        <v>65</v>
      </c>
      <c r="B174" s="5" t="n">
        <v>45717</v>
      </c>
      <c r="C174" s="4" t="s">
        <v>16</v>
      </c>
      <c r="D174" s="4" t="s">
        <v>17</v>
      </c>
      <c r="E174" s="4" t="n">
        <v>50825.08</v>
      </c>
      <c r="F174" s="4" t="n">
        <v>8949</v>
      </c>
      <c r="G174" s="4" t="n">
        <v>0.157</v>
      </c>
      <c r="H174" s="4" t="n">
        <v>21</v>
      </c>
      <c r="I174" s="4" t="n">
        <v>84.7</v>
      </c>
      <c r="J174" s="4" t="n">
        <v>7.73</v>
      </c>
      <c r="K174" s="4" t="n">
        <v>0</v>
      </c>
      <c r="L174" s="4" t="n">
        <v>4.9</v>
      </c>
      <c r="M174" s="4" t="n">
        <v>769702.76</v>
      </c>
      <c r="N174" s="4" t="n">
        <v>158697</v>
      </c>
    </row>
    <row r="175" customFormat="false" ht="15" hidden="false" customHeight="true" outlineLevel="0" collapsed="false">
      <c r="A175" s="4" t="s">
        <v>65</v>
      </c>
      <c r="B175" s="5" t="n">
        <v>45748</v>
      </c>
      <c r="C175" s="4" t="s">
        <v>16</v>
      </c>
      <c r="D175" s="4" t="s">
        <v>17</v>
      </c>
      <c r="E175" s="4" t="n">
        <v>36606.51</v>
      </c>
      <c r="F175" s="4" t="n">
        <v>7671</v>
      </c>
      <c r="G175" s="4" t="n">
        <v>0.118</v>
      </c>
      <c r="H175" s="4" t="n">
        <v>18</v>
      </c>
      <c r="I175" s="4" t="n">
        <v>89.8</v>
      </c>
      <c r="J175" s="4" t="n">
        <v>0.25</v>
      </c>
      <c r="K175" s="4" t="n">
        <v>0</v>
      </c>
      <c r="L175" s="4" t="n">
        <v>4.4</v>
      </c>
      <c r="M175" s="4" t="n">
        <v>679731.57</v>
      </c>
      <c r="N175" s="4" t="n">
        <v>121546.42</v>
      </c>
    </row>
    <row r="176" customFormat="false" ht="15" hidden="false" customHeight="true" outlineLevel="0" collapsed="false">
      <c r="A176" s="4" t="s">
        <v>66</v>
      </c>
      <c r="B176" s="5" t="n">
        <v>45658</v>
      </c>
      <c r="C176" s="4" t="s">
        <v>16</v>
      </c>
      <c r="D176" s="4" t="s">
        <v>17</v>
      </c>
      <c r="E176" s="4" t="n">
        <v>65237.79</v>
      </c>
      <c r="F176" s="4" t="n">
        <v>8741</v>
      </c>
      <c r="G176" s="4" t="n">
        <v>0.157</v>
      </c>
      <c r="H176" s="4" t="n">
        <v>20</v>
      </c>
      <c r="I176" s="4" t="n">
        <v>94.4</v>
      </c>
      <c r="J176" s="4" t="n">
        <v>6.43</v>
      </c>
      <c r="K176" s="4" t="n">
        <v>0</v>
      </c>
      <c r="L176" s="4" t="n">
        <v>3.3</v>
      </c>
      <c r="M176" s="4" t="n">
        <v>780344.18</v>
      </c>
      <c r="N176" s="4" t="n">
        <v>118239.09</v>
      </c>
    </row>
    <row r="177" customFormat="false" ht="15" hidden="false" customHeight="true" outlineLevel="0" collapsed="false">
      <c r="A177" s="4" t="s">
        <v>66</v>
      </c>
      <c r="B177" s="5" t="n">
        <v>45689</v>
      </c>
      <c r="C177" s="4" t="s">
        <v>16</v>
      </c>
      <c r="D177" s="4" t="s">
        <v>17</v>
      </c>
      <c r="E177" s="4" t="n">
        <v>43645.98</v>
      </c>
      <c r="F177" s="4" t="n">
        <v>9480</v>
      </c>
      <c r="G177" s="4" t="n">
        <v>0.109</v>
      </c>
      <c r="H177" s="4" t="n">
        <v>22</v>
      </c>
      <c r="I177" s="4" t="n">
        <v>89</v>
      </c>
      <c r="J177" s="4" t="n">
        <v>2.11</v>
      </c>
      <c r="K177" s="4" t="n">
        <v>0</v>
      </c>
      <c r="L177" s="4" t="n">
        <v>3.1</v>
      </c>
      <c r="M177" s="4" t="n">
        <v>721364.11</v>
      </c>
      <c r="N177" s="4" t="n">
        <v>147272.81</v>
      </c>
    </row>
    <row r="178" customFormat="false" ht="15" hidden="false" customHeight="true" outlineLevel="0" collapsed="false">
      <c r="A178" s="4" t="s">
        <v>66</v>
      </c>
      <c r="B178" s="5" t="n">
        <v>45717</v>
      </c>
      <c r="C178" s="4" t="s">
        <v>16</v>
      </c>
      <c r="D178" s="4" t="s">
        <v>17</v>
      </c>
      <c r="E178" s="4" t="n">
        <v>68040.15</v>
      </c>
      <c r="F178" s="4" t="n">
        <v>9826</v>
      </c>
      <c r="G178" s="4" t="n">
        <v>0.125</v>
      </c>
      <c r="H178" s="4" t="n">
        <v>20</v>
      </c>
      <c r="I178" s="4" t="n">
        <v>83.9</v>
      </c>
      <c r="J178" s="4" t="n">
        <v>9.12</v>
      </c>
      <c r="K178" s="4" t="n">
        <v>0</v>
      </c>
      <c r="L178" s="4" t="n">
        <v>3.6</v>
      </c>
      <c r="M178" s="4" t="n">
        <v>758138.29</v>
      </c>
      <c r="N178" s="4" t="n">
        <v>132975.26</v>
      </c>
    </row>
    <row r="179" customFormat="false" ht="15" hidden="false" customHeight="true" outlineLevel="0" collapsed="false">
      <c r="A179" s="4" t="s">
        <v>66</v>
      </c>
      <c r="B179" s="5" t="n">
        <v>45748</v>
      </c>
      <c r="C179" s="4" t="s">
        <v>16</v>
      </c>
      <c r="D179" s="4" t="s">
        <v>17</v>
      </c>
      <c r="E179" s="4" t="n">
        <v>63043.94</v>
      </c>
      <c r="F179" s="4" t="n">
        <v>10402</v>
      </c>
      <c r="G179" s="4" t="n">
        <v>0.159</v>
      </c>
      <c r="H179" s="4" t="n">
        <v>23</v>
      </c>
      <c r="I179" s="4" t="n">
        <v>93.9</v>
      </c>
      <c r="J179" s="4" t="n">
        <v>2.71</v>
      </c>
      <c r="K179" s="4" t="n">
        <v>0</v>
      </c>
      <c r="L179" s="4" t="n">
        <v>3.1</v>
      </c>
      <c r="M179" s="4" t="n">
        <v>804264</v>
      </c>
      <c r="N179" s="4" t="n">
        <v>167117.91</v>
      </c>
    </row>
    <row r="180" customFormat="false" ht="15" hidden="false" customHeight="true" outlineLevel="0" collapsed="false">
      <c r="A180" s="4" t="s">
        <v>67</v>
      </c>
      <c r="B180" s="5" t="n">
        <v>45658</v>
      </c>
      <c r="C180" s="4" t="s">
        <v>28</v>
      </c>
      <c r="D180" s="4" t="s">
        <v>22</v>
      </c>
      <c r="E180" s="4" t="n">
        <v>67494.09</v>
      </c>
      <c r="F180" s="4" t="n">
        <v>12361</v>
      </c>
      <c r="G180" s="4" t="n">
        <v>0.046</v>
      </c>
      <c r="H180" s="4" t="n">
        <v>24</v>
      </c>
      <c r="I180" s="4" t="n">
        <v>76.6</v>
      </c>
      <c r="J180" s="4" t="n">
        <v>3.65</v>
      </c>
      <c r="K180" s="4" t="n">
        <v>1</v>
      </c>
      <c r="L180" s="4" t="n">
        <v>3.7</v>
      </c>
      <c r="M180" s="4" t="n">
        <v>887537.75</v>
      </c>
      <c r="N180" s="4" t="n">
        <v>160362.92</v>
      </c>
    </row>
    <row r="181" customFormat="false" ht="15" hidden="false" customHeight="true" outlineLevel="0" collapsed="false">
      <c r="A181" s="4" t="s">
        <v>67</v>
      </c>
      <c r="B181" s="5" t="n">
        <v>45689</v>
      </c>
      <c r="C181" s="4" t="s">
        <v>28</v>
      </c>
      <c r="D181" s="4" t="s">
        <v>22</v>
      </c>
      <c r="E181" s="4" t="n">
        <v>29389.32</v>
      </c>
      <c r="F181" s="4" t="n">
        <v>7925</v>
      </c>
      <c r="G181" s="4" t="n">
        <v>0.177</v>
      </c>
      <c r="H181" s="4" t="n">
        <v>21</v>
      </c>
      <c r="I181" s="4" t="n">
        <v>90.9</v>
      </c>
      <c r="J181" s="4" t="n">
        <v>7.86</v>
      </c>
      <c r="K181" s="4" t="n">
        <v>0</v>
      </c>
      <c r="L181" s="4" t="n">
        <v>4</v>
      </c>
      <c r="M181" s="4" t="n">
        <v>783582</v>
      </c>
      <c r="N181" s="4" t="n">
        <v>130670.93</v>
      </c>
    </row>
    <row r="182" customFormat="false" ht="15" hidden="false" customHeight="true" outlineLevel="0" collapsed="false">
      <c r="A182" s="4" t="s">
        <v>67</v>
      </c>
      <c r="B182" s="5" t="n">
        <v>45717</v>
      </c>
      <c r="C182" s="4" t="s">
        <v>28</v>
      </c>
      <c r="D182" s="4" t="s">
        <v>22</v>
      </c>
      <c r="E182" s="4" t="n">
        <v>40535.09</v>
      </c>
      <c r="F182" s="4" t="n">
        <v>8870</v>
      </c>
      <c r="G182" s="4" t="n">
        <v>0.041</v>
      </c>
      <c r="H182" s="4" t="n">
        <v>21</v>
      </c>
      <c r="I182" s="4" t="n">
        <v>86.6</v>
      </c>
      <c r="J182" s="4" t="n">
        <v>0.3</v>
      </c>
      <c r="K182" s="4" t="n">
        <v>0</v>
      </c>
      <c r="L182" s="4" t="n">
        <v>4.1</v>
      </c>
      <c r="M182" s="4" t="n">
        <v>781955.52</v>
      </c>
      <c r="N182" s="4" t="n">
        <v>152578.71</v>
      </c>
    </row>
    <row r="183" customFormat="false" ht="15" hidden="false" customHeight="true" outlineLevel="0" collapsed="false">
      <c r="A183" s="4" t="s">
        <v>67</v>
      </c>
      <c r="B183" s="5" t="n">
        <v>45748</v>
      </c>
      <c r="C183" s="4" t="s">
        <v>28</v>
      </c>
      <c r="D183" s="4" t="s">
        <v>22</v>
      </c>
      <c r="E183" s="4" t="n">
        <v>74881.56</v>
      </c>
      <c r="F183" s="4" t="n">
        <v>9999</v>
      </c>
      <c r="G183" s="4" t="n">
        <v>0.013</v>
      </c>
      <c r="H183" s="4" t="n">
        <v>20</v>
      </c>
      <c r="I183" s="4" t="n">
        <v>89.6</v>
      </c>
      <c r="J183" s="4" t="n">
        <v>8.44</v>
      </c>
      <c r="K183" s="4" t="n">
        <v>0</v>
      </c>
      <c r="L183" s="4" t="n">
        <v>4.1</v>
      </c>
      <c r="M183" s="4" t="n">
        <v>898031.04</v>
      </c>
      <c r="N183" s="4" t="n">
        <v>138666.5</v>
      </c>
    </row>
    <row r="184" customFormat="false" ht="15" hidden="false" customHeight="true" outlineLevel="0" collapsed="false">
      <c r="A184" s="4" t="s">
        <v>68</v>
      </c>
      <c r="B184" s="5" t="n">
        <v>45658</v>
      </c>
      <c r="C184" s="4" t="s">
        <v>28</v>
      </c>
      <c r="D184" s="4" t="s">
        <v>17</v>
      </c>
      <c r="E184" s="4" t="n">
        <v>68491.11</v>
      </c>
      <c r="F184" s="4" t="n">
        <v>11154</v>
      </c>
      <c r="G184" s="4" t="n">
        <v>0.001</v>
      </c>
      <c r="H184" s="4" t="n">
        <v>24</v>
      </c>
      <c r="I184" s="4" t="n">
        <v>89.4</v>
      </c>
      <c r="J184" s="4" t="n">
        <v>5.27</v>
      </c>
      <c r="K184" s="4" t="n">
        <v>1</v>
      </c>
      <c r="L184" s="4" t="n">
        <v>3.9</v>
      </c>
      <c r="M184" s="4" t="n">
        <v>855341.28</v>
      </c>
      <c r="N184" s="4" t="n">
        <v>175823.8</v>
      </c>
    </row>
    <row r="185" customFormat="false" ht="15" hidden="false" customHeight="true" outlineLevel="0" collapsed="false">
      <c r="A185" s="4" t="s">
        <v>68</v>
      </c>
      <c r="B185" s="5" t="n">
        <v>45689</v>
      </c>
      <c r="C185" s="4" t="s">
        <v>28</v>
      </c>
      <c r="D185" s="4" t="s">
        <v>17</v>
      </c>
      <c r="E185" s="4" t="n">
        <v>45209.25</v>
      </c>
      <c r="F185" s="4" t="n">
        <v>9287</v>
      </c>
      <c r="G185" s="4" t="n">
        <v>0.141</v>
      </c>
      <c r="H185" s="4" t="n">
        <v>22</v>
      </c>
      <c r="I185" s="4" t="n">
        <v>86.4</v>
      </c>
      <c r="J185" s="4" t="n">
        <v>13.22</v>
      </c>
      <c r="K185" s="4" t="n">
        <v>0</v>
      </c>
      <c r="L185" s="4" t="n">
        <v>3.6</v>
      </c>
      <c r="M185" s="4" t="n">
        <v>751393.88</v>
      </c>
      <c r="N185" s="4" t="n">
        <v>91480.32</v>
      </c>
    </row>
    <row r="186" customFormat="false" ht="15" hidden="false" customHeight="true" outlineLevel="0" collapsed="false">
      <c r="A186" s="4" t="s">
        <v>68</v>
      </c>
      <c r="B186" s="5" t="n">
        <v>45717</v>
      </c>
      <c r="C186" s="4" t="s">
        <v>28</v>
      </c>
      <c r="D186" s="4" t="s">
        <v>17</v>
      </c>
      <c r="E186" s="4" t="n">
        <v>63010.23</v>
      </c>
      <c r="F186" s="4" t="n">
        <v>9812</v>
      </c>
      <c r="G186" s="4" t="n">
        <v>0.113</v>
      </c>
      <c r="H186" s="4" t="n">
        <v>24</v>
      </c>
      <c r="I186" s="4" t="n">
        <v>76.8</v>
      </c>
      <c r="J186" s="4" t="n">
        <v>1.02</v>
      </c>
      <c r="K186" s="4" t="n">
        <v>1</v>
      </c>
      <c r="L186" s="4" t="n">
        <v>3.8</v>
      </c>
      <c r="M186" s="4" t="n">
        <v>761077.08</v>
      </c>
      <c r="N186" s="4" t="n">
        <v>113605.93</v>
      </c>
    </row>
    <row r="187" customFormat="false" ht="15" hidden="false" customHeight="true" outlineLevel="0" collapsed="false">
      <c r="A187" s="4" t="s">
        <v>68</v>
      </c>
      <c r="B187" s="5" t="n">
        <v>45748</v>
      </c>
      <c r="C187" s="4" t="s">
        <v>28</v>
      </c>
      <c r="D187" s="4" t="s">
        <v>17</v>
      </c>
      <c r="E187" s="4" t="n">
        <v>57948.88</v>
      </c>
      <c r="F187" s="4" t="n">
        <v>10741</v>
      </c>
      <c r="G187" s="4" t="n">
        <v>0.07</v>
      </c>
      <c r="H187" s="4" t="n">
        <v>25</v>
      </c>
      <c r="I187" s="4" t="n">
        <v>90.1</v>
      </c>
      <c r="J187" s="4" t="n">
        <v>4.03</v>
      </c>
      <c r="K187" s="4" t="n">
        <v>0</v>
      </c>
      <c r="L187" s="4" t="n">
        <v>3.1</v>
      </c>
      <c r="M187" s="4" t="n">
        <v>819660.59</v>
      </c>
      <c r="N187" s="4" t="n">
        <v>172699.95</v>
      </c>
    </row>
    <row r="188" customFormat="false" ht="15" hidden="false" customHeight="true" outlineLevel="0" collapsed="false">
      <c r="A188" s="4" t="s">
        <v>69</v>
      </c>
      <c r="B188" s="5" t="n">
        <v>45658</v>
      </c>
      <c r="C188" s="4" t="s">
        <v>21</v>
      </c>
      <c r="D188" s="4" t="s">
        <v>19</v>
      </c>
      <c r="E188" s="4" t="n">
        <v>71941.62</v>
      </c>
      <c r="F188" s="4" t="n">
        <v>6084</v>
      </c>
      <c r="G188" s="4" t="n">
        <v>0.072</v>
      </c>
      <c r="H188" s="4" t="n">
        <v>13</v>
      </c>
      <c r="I188" s="4" t="n">
        <v>93.7</v>
      </c>
      <c r="J188" s="4" t="n">
        <v>2.34</v>
      </c>
      <c r="K188" s="4" t="n">
        <v>0</v>
      </c>
      <c r="L188" s="4" t="n">
        <v>4.4</v>
      </c>
      <c r="M188" s="4" t="n">
        <v>681855.56</v>
      </c>
      <c r="N188" s="4" t="n">
        <v>117645.61</v>
      </c>
    </row>
    <row r="189" customFormat="false" ht="15" hidden="false" customHeight="true" outlineLevel="0" collapsed="false">
      <c r="A189" s="4" t="s">
        <v>69</v>
      </c>
      <c r="B189" s="5" t="n">
        <v>45689</v>
      </c>
      <c r="C189" s="4" t="s">
        <v>21</v>
      </c>
      <c r="D189" s="4" t="s">
        <v>19</v>
      </c>
      <c r="E189" s="4" t="n">
        <v>57147.88</v>
      </c>
      <c r="F189" s="4" t="n">
        <v>5252</v>
      </c>
      <c r="G189" s="4" t="n">
        <v>0.161</v>
      </c>
      <c r="H189" s="4" t="n">
        <v>15</v>
      </c>
      <c r="I189" s="4" t="n">
        <v>95.5</v>
      </c>
      <c r="J189" s="4" t="n">
        <v>8.51</v>
      </c>
      <c r="K189" s="4" t="n">
        <v>0</v>
      </c>
      <c r="L189" s="4" t="n">
        <v>4.4</v>
      </c>
      <c r="M189" s="4" t="n">
        <v>678311.17</v>
      </c>
      <c r="N189" s="4" t="n">
        <v>132029.76</v>
      </c>
    </row>
    <row r="190" customFormat="false" ht="15" hidden="false" customHeight="true" outlineLevel="0" collapsed="false">
      <c r="A190" s="4" t="s">
        <v>69</v>
      </c>
      <c r="B190" s="5" t="n">
        <v>45717</v>
      </c>
      <c r="C190" s="4" t="s">
        <v>21</v>
      </c>
      <c r="D190" s="4" t="s">
        <v>19</v>
      </c>
      <c r="E190" s="4" t="n">
        <v>48031.74</v>
      </c>
      <c r="F190" s="4" t="n">
        <v>6516</v>
      </c>
      <c r="G190" s="4" t="n">
        <v>0.067</v>
      </c>
      <c r="H190" s="4" t="n">
        <v>14</v>
      </c>
      <c r="I190" s="4" t="n">
        <v>99</v>
      </c>
      <c r="J190" s="4" t="n">
        <v>0.48</v>
      </c>
      <c r="K190" s="4" t="n">
        <v>1</v>
      </c>
      <c r="L190" s="4" t="n">
        <v>4.3</v>
      </c>
      <c r="M190" s="4" t="n">
        <v>765906.95</v>
      </c>
      <c r="N190" s="4" t="n">
        <v>114005.9</v>
      </c>
    </row>
    <row r="191" customFormat="false" ht="15" hidden="false" customHeight="true" outlineLevel="0" collapsed="false">
      <c r="A191" s="4" t="s">
        <v>69</v>
      </c>
      <c r="B191" s="5" t="n">
        <v>45748</v>
      </c>
      <c r="C191" s="4" t="s">
        <v>21</v>
      </c>
      <c r="D191" s="4" t="s">
        <v>19</v>
      </c>
      <c r="E191" s="4" t="n">
        <v>72784.8</v>
      </c>
      <c r="F191" s="4" t="n">
        <v>7932</v>
      </c>
      <c r="G191" s="4" t="n">
        <v>0.094</v>
      </c>
      <c r="H191" s="4" t="n">
        <v>20</v>
      </c>
      <c r="I191" s="4" t="n">
        <v>74.9</v>
      </c>
      <c r="J191" s="4" t="n">
        <v>13.62</v>
      </c>
      <c r="K191" s="4" t="n">
        <v>0</v>
      </c>
      <c r="L191" s="4" t="n">
        <v>4.2</v>
      </c>
      <c r="M191" s="4" t="n">
        <v>712546.38</v>
      </c>
      <c r="N191" s="4" t="n">
        <v>101480.04</v>
      </c>
    </row>
    <row r="192" customFormat="false" ht="15" hidden="false" customHeight="true" outlineLevel="0" collapsed="false">
      <c r="A192" s="4" t="s">
        <v>70</v>
      </c>
      <c r="B192" s="5" t="n">
        <v>45658</v>
      </c>
      <c r="C192" s="4" t="s">
        <v>16</v>
      </c>
      <c r="D192" s="4" t="s">
        <v>19</v>
      </c>
      <c r="E192" s="4" t="n">
        <v>71641.9</v>
      </c>
      <c r="F192" s="4" t="n">
        <v>3506</v>
      </c>
      <c r="G192" s="4" t="n">
        <v>0</v>
      </c>
      <c r="H192" s="4" t="n">
        <v>11</v>
      </c>
      <c r="I192" s="4" t="n">
        <v>86.4</v>
      </c>
      <c r="J192" s="4" t="n">
        <v>7.77</v>
      </c>
      <c r="K192" s="4" t="n">
        <v>0</v>
      </c>
      <c r="L192" s="4" t="n">
        <v>4.1</v>
      </c>
      <c r="M192" s="4" t="n">
        <v>625993.83</v>
      </c>
      <c r="N192" s="4" t="n">
        <v>98960.32</v>
      </c>
    </row>
    <row r="193" customFormat="false" ht="15" hidden="false" customHeight="true" outlineLevel="0" collapsed="false">
      <c r="A193" s="4" t="s">
        <v>70</v>
      </c>
      <c r="B193" s="5" t="n">
        <v>45689</v>
      </c>
      <c r="C193" s="4" t="s">
        <v>16</v>
      </c>
      <c r="D193" s="4" t="s">
        <v>19</v>
      </c>
      <c r="E193" s="4" t="n">
        <v>55788.61</v>
      </c>
      <c r="F193" s="4" t="n">
        <v>2312</v>
      </c>
      <c r="G193" s="4" t="n">
        <v>0.058</v>
      </c>
      <c r="H193" s="4" t="n">
        <v>10</v>
      </c>
      <c r="I193" s="4" t="n">
        <v>91.3</v>
      </c>
      <c r="J193" s="4" t="n">
        <v>1.99</v>
      </c>
      <c r="K193" s="4" t="n">
        <v>0</v>
      </c>
      <c r="L193" s="4" t="n">
        <v>3.8</v>
      </c>
      <c r="M193" s="4" t="n">
        <v>550962.93</v>
      </c>
      <c r="N193" s="4" t="n">
        <v>97144.58</v>
      </c>
    </row>
    <row r="194" customFormat="false" ht="15" hidden="false" customHeight="true" outlineLevel="0" collapsed="false">
      <c r="A194" s="4" t="s">
        <v>70</v>
      </c>
      <c r="B194" s="5" t="n">
        <v>45717</v>
      </c>
      <c r="C194" s="4" t="s">
        <v>16</v>
      </c>
      <c r="D194" s="4" t="s">
        <v>19</v>
      </c>
      <c r="E194" s="4" t="n">
        <v>37705.88</v>
      </c>
      <c r="F194" s="4" t="n">
        <v>1268</v>
      </c>
      <c r="G194" s="4" t="n">
        <v>0.259</v>
      </c>
      <c r="H194" s="4" t="n">
        <v>9</v>
      </c>
      <c r="I194" s="4" t="n">
        <v>84.1</v>
      </c>
      <c r="J194" s="4" t="n">
        <v>4.77</v>
      </c>
      <c r="K194" s="4" t="n">
        <v>0</v>
      </c>
      <c r="L194" s="4" t="n">
        <v>3.8</v>
      </c>
      <c r="M194" s="4" t="n">
        <v>443275.59</v>
      </c>
      <c r="N194" s="4" t="n">
        <v>53544.36</v>
      </c>
    </row>
    <row r="195" customFormat="false" ht="15" hidden="false" customHeight="true" outlineLevel="0" collapsed="false">
      <c r="A195" s="4" t="s">
        <v>70</v>
      </c>
      <c r="B195" s="5" t="n">
        <v>45748</v>
      </c>
      <c r="C195" s="4" t="s">
        <v>16</v>
      </c>
      <c r="D195" s="4" t="s">
        <v>19</v>
      </c>
      <c r="E195" s="4" t="n">
        <v>54966.18</v>
      </c>
      <c r="F195" s="4" t="n">
        <v>4423</v>
      </c>
      <c r="G195" s="4" t="n">
        <v>0.186</v>
      </c>
      <c r="H195" s="4" t="n">
        <v>13</v>
      </c>
      <c r="I195" s="4" t="n">
        <v>88.7</v>
      </c>
      <c r="J195" s="4" t="n">
        <v>0.2</v>
      </c>
      <c r="K195" s="4" t="n">
        <v>0</v>
      </c>
      <c r="L195" s="4" t="n">
        <v>4.4</v>
      </c>
      <c r="M195" s="4" t="n">
        <v>554012.07</v>
      </c>
      <c r="N195" s="4" t="n">
        <v>81101.62</v>
      </c>
    </row>
    <row r="196" customFormat="false" ht="15" hidden="false" customHeight="true" outlineLevel="0" collapsed="false">
      <c r="A196" s="4" t="s">
        <v>71</v>
      </c>
      <c r="B196" s="5" t="n">
        <v>45658</v>
      </c>
      <c r="C196" s="4" t="s">
        <v>28</v>
      </c>
      <c r="D196" s="4" t="s">
        <v>17</v>
      </c>
      <c r="E196" s="4" t="n">
        <v>81796.74</v>
      </c>
      <c r="F196" s="4" t="n">
        <v>6177</v>
      </c>
      <c r="G196" s="4" t="n">
        <v>0.164</v>
      </c>
      <c r="H196" s="4" t="n">
        <v>14</v>
      </c>
      <c r="I196" s="4" t="n">
        <v>87.9</v>
      </c>
      <c r="J196" s="4" t="n">
        <v>0.53</v>
      </c>
      <c r="K196" s="4" t="n">
        <v>0</v>
      </c>
      <c r="L196" s="4" t="n">
        <v>3.2</v>
      </c>
      <c r="M196" s="4" t="n">
        <v>643428.85</v>
      </c>
      <c r="N196" s="4" t="n">
        <v>94477.63</v>
      </c>
    </row>
    <row r="197" customFormat="false" ht="15" hidden="false" customHeight="true" outlineLevel="0" collapsed="false">
      <c r="A197" s="4" t="s">
        <v>71</v>
      </c>
      <c r="B197" s="5" t="n">
        <v>45689</v>
      </c>
      <c r="C197" s="4" t="s">
        <v>28</v>
      </c>
      <c r="D197" s="4" t="s">
        <v>17</v>
      </c>
      <c r="E197" s="4" t="n">
        <v>51133.43</v>
      </c>
      <c r="F197" s="4" t="n">
        <v>5150</v>
      </c>
      <c r="G197" s="4" t="n">
        <v>0.15</v>
      </c>
      <c r="H197" s="4" t="n">
        <v>12</v>
      </c>
      <c r="I197" s="4" t="n">
        <v>88.5</v>
      </c>
      <c r="J197" s="4" t="n">
        <v>1.54</v>
      </c>
      <c r="K197" s="4" t="n">
        <v>0</v>
      </c>
      <c r="L197" s="4" t="n">
        <v>3.2</v>
      </c>
      <c r="M197" s="4" t="n">
        <v>611924.27</v>
      </c>
      <c r="N197" s="4" t="n">
        <v>115488.75</v>
      </c>
    </row>
    <row r="198" customFormat="false" ht="15" hidden="false" customHeight="true" outlineLevel="0" collapsed="false">
      <c r="A198" s="4" t="s">
        <v>71</v>
      </c>
      <c r="B198" s="5" t="n">
        <v>45717</v>
      </c>
      <c r="C198" s="4" t="s">
        <v>28</v>
      </c>
      <c r="D198" s="4" t="s">
        <v>17</v>
      </c>
      <c r="E198" s="4" t="n">
        <v>40220.18</v>
      </c>
      <c r="F198" s="4" t="n">
        <v>3783</v>
      </c>
      <c r="G198" s="4" t="n">
        <v>0.089</v>
      </c>
      <c r="H198" s="4" t="n">
        <v>14</v>
      </c>
      <c r="I198" s="4" t="n">
        <v>86.6</v>
      </c>
      <c r="J198" s="4" t="n">
        <v>3.63</v>
      </c>
      <c r="K198" s="4" t="n">
        <v>0</v>
      </c>
      <c r="L198" s="4" t="n">
        <v>3.7</v>
      </c>
      <c r="M198" s="4" t="n">
        <v>559422.02</v>
      </c>
      <c r="N198" s="4" t="n">
        <v>73528.74</v>
      </c>
    </row>
    <row r="199" customFormat="false" ht="15" hidden="false" customHeight="true" outlineLevel="0" collapsed="false">
      <c r="A199" s="4" t="s">
        <v>71</v>
      </c>
      <c r="B199" s="5" t="n">
        <v>45748</v>
      </c>
      <c r="C199" s="4" t="s">
        <v>28</v>
      </c>
      <c r="D199" s="4" t="s">
        <v>17</v>
      </c>
      <c r="E199" s="4" t="n">
        <v>41657.64</v>
      </c>
      <c r="F199" s="4" t="n">
        <v>3135</v>
      </c>
      <c r="G199" s="4" t="n">
        <v>0.229</v>
      </c>
      <c r="H199" s="4" t="n">
        <v>7</v>
      </c>
      <c r="I199" s="4" t="n">
        <v>85.4</v>
      </c>
      <c r="J199" s="4" t="n">
        <v>13.48</v>
      </c>
      <c r="K199" s="4" t="n">
        <v>0</v>
      </c>
      <c r="L199" s="4"/>
      <c r="M199" s="4" t="n">
        <v>449465.06</v>
      </c>
      <c r="N199" s="4" t="n">
        <v>65694.78</v>
      </c>
    </row>
    <row r="200" customFormat="false" ht="15" hidden="false" customHeight="true" outlineLevel="0" collapsed="false">
      <c r="A200" s="4" t="s">
        <v>72</v>
      </c>
      <c r="B200" s="5" t="n">
        <v>45658</v>
      </c>
      <c r="C200" s="4" t="s">
        <v>21</v>
      </c>
      <c r="D200" s="4" t="s">
        <v>17</v>
      </c>
      <c r="E200" s="4" t="n">
        <v>71851.45</v>
      </c>
      <c r="F200" s="4" t="n">
        <v>4970</v>
      </c>
      <c r="G200" s="4" t="n">
        <v>0.098</v>
      </c>
      <c r="H200" s="4" t="n">
        <v>11</v>
      </c>
      <c r="I200" s="4" t="n">
        <v>89.6</v>
      </c>
      <c r="J200" s="4" t="n">
        <v>0.2</v>
      </c>
      <c r="K200" s="4" t="n">
        <v>0</v>
      </c>
      <c r="L200" s="4" t="n">
        <v>4.2</v>
      </c>
      <c r="M200" s="4" t="n">
        <v>691447.43</v>
      </c>
      <c r="N200" s="4" t="n">
        <v>114077.69</v>
      </c>
    </row>
    <row r="201" customFormat="false" ht="15" hidden="false" customHeight="true" outlineLevel="0" collapsed="false">
      <c r="A201" s="4" t="s">
        <v>72</v>
      </c>
      <c r="B201" s="5" t="n">
        <v>45689</v>
      </c>
      <c r="C201" s="4" t="s">
        <v>21</v>
      </c>
      <c r="D201" s="4" t="s">
        <v>17</v>
      </c>
      <c r="E201" s="4" t="n">
        <v>54002.83</v>
      </c>
      <c r="F201" s="4" t="n">
        <v>4366</v>
      </c>
      <c r="G201" s="4" t="n">
        <v>0.027</v>
      </c>
      <c r="H201" s="4" t="n">
        <v>15</v>
      </c>
      <c r="I201" s="4" t="n">
        <v>90.6</v>
      </c>
      <c r="J201" s="4" t="n">
        <v>12.82</v>
      </c>
      <c r="K201" s="4" t="n">
        <v>0</v>
      </c>
      <c r="L201" s="4" t="n">
        <v>4.6</v>
      </c>
      <c r="M201" s="4" t="n">
        <v>574066.61</v>
      </c>
      <c r="N201" s="4" t="n">
        <v>124674.67</v>
      </c>
    </row>
    <row r="202" customFormat="false" ht="15" hidden="false" customHeight="true" outlineLevel="0" collapsed="false">
      <c r="A202" s="4" t="s">
        <v>72</v>
      </c>
      <c r="B202" s="5" t="n">
        <v>45717</v>
      </c>
      <c r="C202" s="4" t="s">
        <v>21</v>
      </c>
      <c r="D202" s="4" t="s">
        <v>17</v>
      </c>
      <c r="E202" s="4" t="n">
        <v>54479.33</v>
      </c>
      <c r="F202" s="4" t="n">
        <v>5012</v>
      </c>
      <c r="G202" s="4" t="n">
        <v>0.284</v>
      </c>
      <c r="H202" s="4" t="n">
        <v>13</v>
      </c>
      <c r="I202" s="4" t="n">
        <v>86</v>
      </c>
      <c r="J202" s="4" t="n">
        <v>2.24</v>
      </c>
      <c r="K202" s="4" t="n">
        <v>1</v>
      </c>
      <c r="L202" s="4" t="n">
        <v>4.3</v>
      </c>
      <c r="M202" s="4" t="n">
        <v>578949.84</v>
      </c>
      <c r="N202" s="4" t="n">
        <v>80253.65</v>
      </c>
    </row>
    <row r="203" customFormat="false" ht="15" hidden="false" customHeight="true" outlineLevel="0" collapsed="false">
      <c r="A203" s="4" t="s">
        <v>72</v>
      </c>
      <c r="B203" s="5" t="n">
        <v>45748</v>
      </c>
      <c r="C203" s="4" t="s">
        <v>21</v>
      </c>
      <c r="D203" s="4" t="s">
        <v>17</v>
      </c>
      <c r="E203" s="4" t="n">
        <v>61391.8</v>
      </c>
      <c r="F203" s="4" t="n">
        <v>5575</v>
      </c>
      <c r="G203" s="4" t="n">
        <v>0.189</v>
      </c>
      <c r="H203" s="4" t="n">
        <v>18</v>
      </c>
      <c r="I203" s="4" t="n">
        <v>90</v>
      </c>
      <c r="J203" s="4" t="n">
        <v>1.8</v>
      </c>
      <c r="K203" s="4" t="n">
        <v>0</v>
      </c>
      <c r="L203" s="4" t="n">
        <v>4.8</v>
      </c>
      <c r="M203" s="4" t="n">
        <v>735786.64</v>
      </c>
      <c r="N203" s="4" t="n">
        <v>126540.66</v>
      </c>
    </row>
    <row r="204" customFormat="false" ht="15" hidden="false" customHeight="true" outlineLevel="0" collapsed="false">
      <c r="A204" s="4" t="s">
        <v>73</v>
      </c>
      <c r="B204" s="5" t="n">
        <v>45658</v>
      </c>
      <c r="C204" s="4" t="s">
        <v>16</v>
      </c>
      <c r="D204" s="4" t="s">
        <v>22</v>
      </c>
      <c r="E204" s="4" t="n">
        <v>22312.93</v>
      </c>
      <c r="F204" s="4" t="n">
        <v>5955</v>
      </c>
      <c r="G204" s="4" t="n">
        <v>0.123</v>
      </c>
      <c r="H204" s="4" t="n">
        <v>13</v>
      </c>
      <c r="I204" s="4" t="n">
        <v>84.2</v>
      </c>
      <c r="J204" s="4" t="n">
        <v>0.41</v>
      </c>
      <c r="K204" s="4" t="n">
        <v>1</v>
      </c>
      <c r="L204" s="4" t="n">
        <v>4.6</v>
      </c>
      <c r="M204" s="4" t="n">
        <v>598904.9</v>
      </c>
      <c r="N204" s="4" t="n">
        <v>72861</v>
      </c>
    </row>
    <row r="205" customFormat="false" ht="15" hidden="false" customHeight="true" outlineLevel="0" collapsed="false">
      <c r="A205" s="4" t="s">
        <v>73</v>
      </c>
      <c r="B205" s="5" t="n">
        <v>45689</v>
      </c>
      <c r="C205" s="4" t="s">
        <v>16</v>
      </c>
      <c r="D205" s="4" t="s">
        <v>22</v>
      </c>
      <c r="E205" s="4" t="n">
        <v>78111.97</v>
      </c>
      <c r="F205" s="4" t="n">
        <v>6389</v>
      </c>
      <c r="G205" s="4" t="n">
        <v>0.15</v>
      </c>
      <c r="H205" s="4" t="n">
        <v>13</v>
      </c>
      <c r="I205" s="4" t="n">
        <v>83.9</v>
      </c>
      <c r="J205" s="4" t="n">
        <v>3.05</v>
      </c>
      <c r="K205" s="4" t="n">
        <v>0</v>
      </c>
      <c r="L205" s="4" t="n">
        <v>4.8</v>
      </c>
      <c r="M205" s="4" t="n">
        <v>787715.51</v>
      </c>
      <c r="N205" s="4" t="n">
        <v>128969.62</v>
      </c>
    </row>
    <row r="206" customFormat="false" ht="15" hidden="false" customHeight="true" outlineLevel="0" collapsed="false">
      <c r="A206" s="4" t="s">
        <v>73</v>
      </c>
      <c r="B206" s="5" t="n">
        <v>45717</v>
      </c>
      <c r="C206" s="4" t="s">
        <v>16</v>
      </c>
      <c r="D206" s="4" t="s">
        <v>22</v>
      </c>
      <c r="E206" s="4" t="n">
        <v>35203.23</v>
      </c>
      <c r="F206" s="4" t="n">
        <v>6896</v>
      </c>
      <c r="G206" s="4" t="n">
        <v>0.032</v>
      </c>
      <c r="H206" s="4" t="n">
        <v>14</v>
      </c>
      <c r="I206" s="4" t="n">
        <v>80.8</v>
      </c>
      <c r="J206" s="4" t="n">
        <v>8.44</v>
      </c>
      <c r="K206" s="4" t="n">
        <v>1</v>
      </c>
      <c r="L206" s="4" t="n">
        <v>5</v>
      </c>
      <c r="M206" s="4" t="n">
        <v>607084.92</v>
      </c>
      <c r="N206" s="4" t="n">
        <v>98558.49</v>
      </c>
    </row>
    <row r="207" customFormat="false" ht="15" hidden="false" customHeight="true" outlineLevel="0" collapsed="false">
      <c r="A207" s="4" t="s">
        <v>73</v>
      </c>
      <c r="B207" s="5" t="n">
        <v>45748</v>
      </c>
      <c r="C207" s="4" t="s">
        <v>16</v>
      </c>
      <c r="D207" s="4" t="s">
        <v>22</v>
      </c>
      <c r="E207" s="4" t="n">
        <v>64104.28</v>
      </c>
      <c r="F207" s="4" t="n">
        <v>6015</v>
      </c>
      <c r="G207" s="4" t="n">
        <v>0.127</v>
      </c>
      <c r="H207" s="4" t="n">
        <v>15</v>
      </c>
      <c r="I207" s="4" t="n">
        <v>88.7</v>
      </c>
      <c r="J207" s="4" t="n">
        <v>0.78</v>
      </c>
      <c r="K207" s="4" t="n">
        <v>0</v>
      </c>
      <c r="L207" s="4" t="n">
        <v>4</v>
      </c>
      <c r="M207" s="4" t="n">
        <v>650795.49</v>
      </c>
      <c r="N207" s="4" t="n">
        <v>103035.89</v>
      </c>
    </row>
    <row r="208" customFormat="false" ht="15" hidden="false" customHeight="true" outlineLevel="0" collapsed="false">
      <c r="A208" s="4" t="s">
        <v>74</v>
      </c>
      <c r="B208" s="5" t="n">
        <v>45658</v>
      </c>
      <c r="C208" s="4" t="s">
        <v>16</v>
      </c>
      <c r="D208" s="4" t="s">
        <v>29</v>
      </c>
      <c r="E208" s="4" t="n">
        <v>92090.14</v>
      </c>
      <c r="F208" s="4" t="n">
        <v>9476</v>
      </c>
      <c r="G208" s="4" t="n">
        <v>0.07</v>
      </c>
      <c r="H208" s="4" t="n">
        <v>24</v>
      </c>
      <c r="I208" s="4" t="n">
        <v>94.3</v>
      </c>
      <c r="J208" s="4" t="n">
        <v>0.87</v>
      </c>
      <c r="K208" s="4" t="n">
        <v>0</v>
      </c>
      <c r="L208" s="4" t="n">
        <v>3.7</v>
      </c>
      <c r="M208" s="4" t="n">
        <v>825060.52</v>
      </c>
      <c r="N208" s="4" t="n">
        <v>143613.15</v>
      </c>
    </row>
    <row r="209" customFormat="false" ht="15" hidden="false" customHeight="true" outlineLevel="0" collapsed="false">
      <c r="A209" s="4" t="s">
        <v>74</v>
      </c>
      <c r="B209" s="5" t="n">
        <v>45689</v>
      </c>
      <c r="C209" s="4" t="s">
        <v>16</v>
      </c>
      <c r="D209" s="4" t="s">
        <v>29</v>
      </c>
      <c r="E209" s="4" t="n">
        <v>54300.87</v>
      </c>
      <c r="F209" s="4" t="n">
        <v>7875</v>
      </c>
      <c r="G209" s="4" t="n">
        <v>0.107</v>
      </c>
      <c r="H209" s="4" t="n">
        <v>19</v>
      </c>
      <c r="I209" s="4" t="n">
        <v>94.1</v>
      </c>
      <c r="J209" s="4" t="n">
        <v>0.95</v>
      </c>
      <c r="K209" s="4" t="n">
        <v>0</v>
      </c>
      <c r="L209" s="4" t="n">
        <v>3.7</v>
      </c>
      <c r="M209" s="4" t="n">
        <v>795464.47</v>
      </c>
      <c r="N209" s="4" t="n">
        <v>161150.52</v>
      </c>
    </row>
    <row r="210" customFormat="false" ht="15" hidden="false" customHeight="true" outlineLevel="0" collapsed="false">
      <c r="A210" s="4" t="s">
        <v>74</v>
      </c>
      <c r="B210" s="5" t="n">
        <v>45717</v>
      </c>
      <c r="C210" s="4" t="s">
        <v>16</v>
      </c>
      <c r="D210" s="4" t="s">
        <v>29</v>
      </c>
      <c r="E210" s="4" t="n">
        <v>37983.35</v>
      </c>
      <c r="F210" s="4" t="n">
        <v>9283</v>
      </c>
      <c r="G210" s="4" t="n">
        <v>0.149</v>
      </c>
      <c r="H210" s="4" t="n">
        <v>19</v>
      </c>
      <c r="I210" s="4" t="n">
        <v>83.2</v>
      </c>
      <c r="J210" s="4" t="n">
        <v>3.82</v>
      </c>
      <c r="K210" s="4" t="n">
        <v>0</v>
      </c>
      <c r="L210" s="4" t="n">
        <v>3.7</v>
      </c>
      <c r="M210" s="4" t="n">
        <v>671868.59</v>
      </c>
      <c r="N210" s="4" t="n">
        <v>71003.28</v>
      </c>
    </row>
    <row r="211" customFormat="false" ht="15" hidden="false" customHeight="true" outlineLevel="0" collapsed="false">
      <c r="A211" s="4" t="s">
        <v>74</v>
      </c>
      <c r="B211" s="5" t="n">
        <v>45748</v>
      </c>
      <c r="C211" s="4" t="s">
        <v>16</v>
      </c>
      <c r="D211" s="4" t="s">
        <v>29</v>
      </c>
      <c r="E211" s="4" t="n">
        <v>56413.83</v>
      </c>
      <c r="F211" s="4" t="n">
        <v>8303</v>
      </c>
      <c r="G211" s="4" t="n">
        <v>0.116</v>
      </c>
      <c r="H211" s="4" t="n">
        <v>18</v>
      </c>
      <c r="I211" s="4" t="n">
        <v>93.6</v>
      </c>
      <c r="J211" s="4" t="n">
        <v>2.7</v>
      </c>
      <c r="K211" s="4" t="n">
        <v>0</v>
      </c>
      <c r="L211" s="4" t="n">
        <v>3.7</v>
      </c>
      <c r="M211" s="4" t="n">
        <v>675917.63</v>
      </c>
      <c r="N211" s="4" t="n">
        <v>112564.75</v>
      </c>
    </row>
    <row r="212" customFormat="false" ht="15" hidden="false" customHeight="true" outlineLevel="0" collapsed="false">
      <c r="A212" s="4" t="s">
        <v>75</v>
      </c>
      <c r="B212" s="5" t="n">
        <v>45658</v>
      </c>
      <c r="C212" s="4" t="s">
        <v>16</v>
      </c>
      <c r="D212" s="4" t="s">
        <v>19</v>
      </c>
      <c r="E212" s="4" t="n">
        <v>63457.19</v>
      </c>
      <c r="F212" s="4" t="n">
        <v>10125</v>
      </c>
      <c r="G212" s="4" t="n">
        <v>0.097</v>
      </c>
      <c r="H212" s="4" t="n">
        <v>24</v>
      </c>
      <c r="I212" s="4" t="n">
        <v>87</v>
      </c>
      <c r="J212" s="4" t="n">
        <v>3.84</v>
      </c>
      <c r="K212" s="4" t="n">
        <v>1</v>
      </c>
      <c r="L212" s="4" t="n">
        <v>3.7</v>
      </c>
      <c r="M212" s="4" t="n">
        <v>810446.53</v>
      </c>
      <c r="N212" s="4" t="n">
        <v>200575.34</v>
      </c>
    </row>
    <row r="213" customFormat="false" ht="15" hidden="false" customHeight="true" outlineLevel="0" collapsed="false">
      <c r="A213" s="4" t="s">
        <v>75</v>
      </c>
      <c r="B213" s="5" t="n">
        <v>45689</v>
      </c>
      <c r="C213" s="4" t="s">
        <v>16</v>
      </c>
      <c r="D213" s="4" t="s">
        <v>19</v>
      </c>
      <c r="E213" s="4" t="n">
        <v>62949.7</v>
      </c>
      <c r="F213" s="4" t="n">
        <v>9458</v>
      </c>
      <c r="G213" s="4" t="n">
        <v>0.171</v>
      </c>
      <c r="H213" s="4" t="n">
        <v>19</v>
      </c>
      <c r="I213" s="4" t="n">
        <v>84.9</v>
      </c>
      <c r="J213" s="4" t="n">
        <v>5.09</v>
      </c>
      <c r="K213" s="4" t="n">
        <v>0</v>
      </c>
      <c r="L213" s="4" t="n">
        <v>3.3</v>
      </c>
      <c r="M213" s="4" t="n">
        <v>691288.19</v>
      </c>
      <c r="N213" s="4" t="n">
        <v>159074.14</v>
      </c>
    </row>
    <row r="214" customFormat="false" ht="15" hidden="false" customHeight="true" outlineLevel="0" collapsed="false">
      <c r="A214" s="4" t="s">
        <v>75</v>
      </c>
      <c r="B214" s="5" t="n">
        <v>45717</v>
      </c>
      <c r="C214" s="4" t="s">
        <v>16</v>
      </c>
      <c r="D214" s="4" t="s">
        <v>19</v>
      </c>
      <c r="E214" s="4" t="n">
        <v>107970.19</v>
      </c>
      <c r="F214" s="4" t="n">
        <v>12870</v>
      </c>
      <c r="G214" s="4" t="n">
        <v>0.029</v>
      </c>
      <c r="H214" s="4" t="n">
        <v>31</v>
      </c>
      <c r="I214" s="4" t="n">
        <v>91.7</v>
      </c>
      <c r="J214" s="4" t="n">
        <v>3.82</v>
      </c>
      <c r="K214" s="4" t="n">
        <v>1</v>
      </c>
      <c r="L214" s="4" t="n">
        <v>3.7</v>
      </c>
      <c r="M214" s="4" t="n">
        <v>946833.54</v>
      </c>
      <c r="N214" s="4" t="n">
        <v>184540.31</v>
      </c>
    </row>
    <row r="215" customFormat="false" ht="15" hidden="false" customHeight="true" outlineLevel="0" collapsed="false">
      <c r="A215" s="4" t="s">
        <v>75</v>
      </c>
      <c r="B215" s="5" t="n">
        <v>45748</v>
      </c>
      <c r="C215" s="4" t="s">
        <v>16</v>
      </c>
      <c r="D215" s="4" t="s">
        <v>19</v>
      </c>
      <c r="E215" s="4" t="n">
        <v>49405.75</v>
      </c>
      <c r="F215" s="4" t="n">
        <v>9752</v>
      </c>
      <c r="G215" s="4" t="n">
        <v>0.093</v>
      </c>
      <c r="H215" s="4" t="n">
        <v>21</v>
      </c>
      <c r="I215" s="4" t="n">
        <v>87</v>
      </c>
      <c r="J215" s="4" t="n">
        <v>12.28</v>
      </c>
      <c r="K215" s="4" t="n">
        <v>0</v>
      </c>
      <c r="L215" s="4" t="n">
        <v>4.1</v>
      </c>
      <c r="M215" s="4" t="n">
        <v>761963.23</v>
      </c>
      <c r="N215" s="4" t="n">
        <v>150113.61</v>
      </c>
    </row>
    <row r="216" customFormat="false" ht="15" hidden="false" customHeight="true" outlineLevel="0" collapsed="false">
      <c r="A216" s="4" t="s">
        <v>76</v>
      </c>
      <c r="B216" s="5" t="n">
        <v>45658</v>
      </c>
      <c r="C216" s="4" t="s">
        <v>28</v>
      </c>
      <c r="D216" s="4" t="s">
        <v>17</v>
      </c>
      <c r="E216" s="4" t="n">
        <v>50887.46</v>
      </c>
      <c r="F216" s="4" t="n">
        <v>9505</v>
      </c>
      <c r="G216" s="4" t="n">
        <v>0.091</v>
      </c>
      <c r="H216" s="4" t="n">
        <v>25</v>
      </c>
      <c r="I216" s="4" t="n">
        <v>89.7</v>
      </c>
      <c r="J216" s="4" t="n">
        <v>2.8</v>
      </c>
      <c r="K216" s="4" t="n">
        <v>0</v>
      </c>
      <c r="L216" s="4" t="n">
        <v>4.3</v>
      </c>
      <c r="M216" s="4" t="n">
        <v>812152.6</v>
      </c>
      <c r="N216" s="4" t="n">
        <v>138419.43</v>
      </c>
    </row>
    <row r="217" customFormat="false" ht="15" hidden="false" customHeight="true" outlineLevel="0" collapsed="false">
      <c r="A217" s="4" t="s">
        <v>76</v>
      </c>
      <c r="B217" s="5" t="n">
        <v>45689</v>
      </c>
      <c r="C217" s="4" t="s">
        <v>28</v>
      </c>
      <c r="D217" s="4" t="s">
        <v>17</v>
      </c>
      <c r="E217" s="4" t="n">
        <v>41819.45</v>
      </c>
      <c r="F217" s="4" t="n">
        <v>9412</v>
      </c>
      <c r="G217" s="4" t="n">
        <v>0.15</v>
      </c>
      <c r="H217" s="4" t="n">
        <v>22</v>
      </c>
      <c r="I217" s="4" t="n">
        <v>91</v>
      </c>
      <c r="J217" s="4" t="n">
        <v>3.67</v>
      </c>
      <c r="K217" s="4" t="n">
        <v>0</v>
      </c>
      <c r="L217" s="4" t="n">
        <v>4.2</v>
      </c>
      <c r="M217" s="4" t="n">
        <v>804975.5</v>
      </c>
      <c r="N217" s="4" t="n">
        <v>140054.5</v>
      </c>
    </row>
    <row r="218" customFormat="false" ht="15" hidden="false" customHeight="true" outlineLevel="0" collapsed="false">
      <c r="A218" s="4" t="s">
        <v>76</v>
      </c>
      <c r="B218" s="5" t="n">
        <v>45717</v>
      </c>
      <c r="C218" s="4" t="s">
        <v>28</v>
      </c>
      <c r="D218" s="4" t="s">
        <v>17</v>
      </c>
      <c r="E218" s="4" t="n">
        <v>35296.54</v>
      </c>
      <c r="F218" s="4" t="n">
        <v>9644</v>
      </c>
      <c r="G218" s="4" t="n">
        <v>0</v>
      </c>
      <c r="H218" s="4" t="n">
        <v>22</v>
      </c>
      <c r="I218" s="4" t="n">
        <v>88</v>
      </c>
      <c r="J218" s="4" t="n">
        <v>2.81</v>
      </c>
      <c r="K218" s="4" t="n">
        <v>0</v>
      </c>
      <c r="L218" s="4" t="n">
        <v>4.7</v>
      </c>
      <c r="M218" s="4" t="n">
        <v>752321.72</v>
      </c>
      <c r="N218" s="4" t="n">
        <v>137788.51</v>
      </c>
    </row>
    <row r="219" customFormat="false" ht="15" hidden="false" customHeight="true" outlineLevel="0" collapsed="false">
      <c r="A219" s="4" t="s">
        <v>76</v>
      </c>
      <c r="B219" s="5" t="n">
        <v>45748</v>
      </c>
      <c r="C219" s="4" t="s">
        <v>28</v>
      </c>
      <c r="D219" s="4" t="s">
        <v>17</v>
      </c>
      <c r="E219" s="4" t="n">
        <v>47391.09</v>
      </c>
      <c r="F219" s="4" t="n">
        <v>11224</v>
      </c>
      <c r="G219" s="4" t="n">
        <v>0.147</v>
      </c>
      <c r="H219" s="4" t="n">
        <v>25</v>
      </c>
      <c r="I219" s="4" t="n">
        <v>88.4</v>
      </c>
      <c r="J219" s="4" t="n">
        <v>2.44</v>
      </c>
      <c r="K219" s="4" t="n">
        <v>0</v>
      </c>
      <c r="L219" s="4" t="n">
        <v>4.9</v>
      </c>
      <c r="M219" s="4" t="n">
        <v>836908.24</v>
      </c>
      <c r="N219" s="4" t="n">
        <v>141090.26</v>
      </c>
    </row>
    <row r="220" customFormat="false" ht="15" hidden="false" customHeight="true" outlineLevel="0" collapsed="false">
      <c r="A220" s="4" t="s">
        <v>77</v>
      </c>
      <c r="B220" s="5" t="n">
        <v>45658</v>
      </c>
      <c r="C220" s="4" t="s">
        <v>21</v>
      </c>
      <c r="D220" s="4" t="s">
        <v>22</v>
      </c>
      <c r="E220" s="4" t="n">
        <v>69180.54</v>
      </c>
      <c r="F220" s="4" t="n">
        <v>5394</v>
      </c>
      <c r="G220" s="4" t="n">
        <v>0.126</v>
      </c>
      <c r="H220" s="4" t="n">
        <v>12</v>
      </c>
      <c r="I220" s="4" t="n">
        <v>82.9</v>
      </c>
      <c r="J220" s="4" t="n">
        <v>3.27</v>
      </c>
      <c r="K220" s="4" t="n">
        <v>0</v>
      </c>
      <c r="L220" s="4" t="n">
        <v>3.3</v>
      </c>
      <c r="M220" s="4" t="n">
        <v>674289.1</v>
      </c>
      <c r="N220" s="4" t="n">
        <v>117773.79</v>
      </c>
    </row>
    <row r="221" customFormat="false" ht="15" hidden="false" customHeight="true" outlineLevel="0" collapsed="false">
      <c r="A221" s="4" t="s">
        <v>77</v>
      </c>
      <c r="B221" s="5" t="n">
        <v>45689</v>
      </c>
      <c r="C221" s="4" t="s">
        <v>21</v>
      </c>
      <c r="D221" s="4" t="s">
        <v>22</v>
      </c>
      <c r="E221" s="4" t="n">
        <v>33987.33</v>
      </c>
      <c r="F221" s="4" t="n">
        <v>5014</v>
      </c>
      <c r="G221" s="4" t="n">
        <v>0.246</v>
      </c>
      <c r="H221" s="4" t="n">
        <v>17</v>
      </c>
      <c r="I221" s="4" t="n">
        <v>94.3</v>
      </c>
      <c r="J221" s="4" t="n">
        <v>10.34</v>
      </c>
      <c r="K221" s="4" t="n">
        <v>0</v>
      </c>
      <c r="L221" s="4" t="n">
        <v>3.9</v>
      </c>
      <c r="M221" s="4" t="n">
        <v>622892.42</v>
      </c>
      <c r="N221" s="4" t="n">
        <v>101032.52</v>
      </c>
    </row>
    <row r="222" customFormat="false" ht="15" hidden="false" customHeight="true" outlineLevel="0" collapsed="false">
      <c r="A222" s="4" t="s">
        <v>77</v>
      </c>
      <c r="B222" s="5" t="n">
        <v>45717</v>
      </c>
      <c r="C222" s="4" t="s">
        <v>21</v>
      </c>
      <c r="D222" s="4" t="s">
        <v>22</v>
      </c>
      <c r="E222" s="4" t="n">
        <v>58785.33</v>
      </c>
      <c r="F222" s="4" t="n">
        <v>4467</v>
      </c>
      <c r="G222" s="4" t="n">
        <v>0.229</v>
      </c>
      <c r="H222" s="4" t="n">
        <v>14</v>
      </c>
      <c r="I222" s="4" t="n">
        <v>90.7</v>
      </c>
      <c r="J222" s="4" t="n">
        <v>1.92</v>
      </c>
      <c r="K222" s="4" t="n">
        <v>0</v>
      </c>
      <c r="L222" s="4" t="n">
        <v>3.7</v>
      </c>
      <c r="M222" s="4" t="n">
        <v>673348.56</v>
      </c>
      <c r="N222" s="4" t="n">
        <v>69464.59</v>
      </c>
    </row>
    <row r="223" customFormat="false" ht="15" hidden="false" customHeight="true" outlineLevel="0" collapsed="false">
      <c r="A223" s="4" t="s">
        <v>77</v>
      </c>
      <c r="B223" s="5" t="n">
        <v>45748</v>
      </c>
      <c r="C223" s="4" t="s">
        <v>21</v>
      </c>
      <c r="D223" s="4" t="s">
        <v>22</v>
      </c>
      <c r="E223" s="4" t="n">
        <v>16451.85</v>
      </c>
      <c r="F223" s="4" t="n">
        <v>4678</v>
      </c>
      <c r="G223" s="4" t="n">
        <v>0.133</v>
      </c>
      <c r="H223" s="4" t="n">
        <v>11</v>
      </c>
      <c r="I223" s="4" t="n">
        <v>95.9</v>
      </c>
      <c r="J223" s="4" t="n">
        <v>3.1</v>
      </c>
      <c r="K223" s="4" t="n">
        <v>0</v>
      </c>
      <c r="L223" s="4" t="n">
        <v>3.9</v>
      </c>
      <c r="M223" s="4" t="n">
        <v>606278.3</v>
      </c>
      <c r="N223" s="4" t="n">
        <v>102213.26</v>
      </c>
    </row>
    <row r="224" customFormat="false" ht="15" hidden="false" customHeight="true" outlineLevel="0" collapsed="false">
      <c r="A224" s="4" t="s">
        <v>78</v>
      </c>
      <c r="B224" s="5" t="n">
        <v>45658</v>
      </c>
      <c r="C224" s="4" t="s">
        <v>16</v>
      </c>
      <c r="D224" s="4" t="s">
        <v>19</v>
      </c>
      <c r="E224" s="4" t="n">
        <v>53367.73</v>
      </c>
      <c r="F224" s="4" t="n">
        <v>7291</v>
      </c>
      <c r="G224" s="4" t="n">
        <v>0.146</v>
      </c>
      <c r="H224" s="4" t="n">
        <v>18</v>
      </c>
      <c r="I224" s="4" t="n">
        <v>90.6</v>
      </c>
      <c r="J224" s="4" t="n">
        <v>6.34</v>
      </c>
      <c r="K224" s="4" t="n">
        <v>1</v>
      </c>
      <c r="L224" s="4" t="n">
        <v>3.8</v>
      </c>
      <c r="M224" s="4" t="n">
        <v>712219.81</v>
      </c>
      <c r="N224" s="4" t="n">
        <v>85906.54</v>
      </c>
    </row>
    <row r="225" customFormat="false" ht="15" hidden="false" customHeight="true" outlineLevel="0" collapsed="false">
      <c r="A225" s="4" t="s">
        <v>78</v>
      </c>
      <c r="B225" s="5" t="n">
        <v>45689</v>
      </c>
      <c r="C225" s="4" t="s">
        <v>16</v>
      </c>
      <c r="D225" s="4" t="s">
        <v>19</v>
      </c>
      <c r="E225" s="4" t="n">
        <v>27194.64</v>
      </c>
      <c r="F225" s="4" t="n">
        <v>7404</v>
      </c>
      <c r="G225" s="4" t="n">
        <v>0.088</v>
      </c>
      <c r="H225" s="4" t="n">
        <v>18</v>
      </c>
      <c r="I225" s="4" t="n">
        <v>90.2</v>
      </c>
      <c r="J225" s="4" t="n">
        <v>1.2</v>
      </c>
      <c r="K225" s="4" t="n">
        <v>0</v>
      </c>
      <c r="L225" s="4" t="n">
        <v>3.4</v>
      </c>
      <c r="M225" s="4" t="n">
        <v>672670.54</v>
      </c>
      <c r="N225" s="4" t="n">
        <v>132684.18</v>
      </c>
    </row>
    <row r="226" customFormat="false" ht="15" hidden="false" customHeight="true" outlineLevel="0" collapsed="false">
      <c r="A226" s="4" t="s">
        <v>78</v>
      </c>
      <c r="B226" s="5" t="n">
        <v>45717</v>
      </c>
      <c r="C226" s="4" t="s">
        <v>16</v>
      </c>
      <c r="D226" s="4" t="s">
        <v>19</v>
      </c>
      <c r="E226" s="4" t="n">
        <v>66962.74</v>
      </c>
      <c r="F226" s="4" t="n">
        <v>7880</v>
      </c>
      <c r="G226" s="4" t="n">
        <v>0.116</v>
      </c>
      <c r="H226" s="4" t="n">
        <v>19</v>
      </c>
      <c r="I226" s="4" t="n">
        <v>90.4</v>
      </c>
      <c r="J226" s="4" t="n">
        <v>4.5</v>
      </c>
      <c r="K226" s="4" t="n">
        <v>0</v>
      </c>
      <c r="L226" s="4" t="n">
        <v>3.3</v>
      </c>
      <c r="M226" s="4" t="n">
        <v>732667.92</v>
      </c>
      <c r="N226" s="4" t="n">
        <v>128654.46</v>
      </c>
    </row>
    <row r="227" customFormat="false" ht="15" hidden="false" customHeight="true" outlineLevel="0" collapsed="false">
      <c r="A227" s="4" t="s">
        <v>78</v>
      </c>
      <c r="B227" s="5" t="n">
        <v>45748</v>
      </c>
      <c r="C227" s="4" t="s">
        <v>16</v>
      </c>
      <c r="D227" s="4" t="s">
        <v>19</v>
      </c>
      <c r="E227" s="4" t="n">
        <v>73540.99</v>
      </c>
      <c r="F227" s="4" t="n">
        <v>8773</v>
      </c>
      <c r="G227" s="4" t="n">
        <v>0.035</v>
      </c>
      <c r="H227" s="4" t="n">
        <v>21</v>
      </c>
      <c r="I227" s="4" t="n">
        <v>84.4</v>
      </c>
      <c r="J227" s="4" t="n">
        <v>6.68</v>
      </c>
      <c r="K227" s="4" t="n">
        <v>0</v>
      </c>
      <c r="L227" s="4" t="n">
        <v>3.6</v>
      </c>
      <c r="M227" s="4" t="n">
        <v>723531.4</v>
      </c>
      <c r="N227" s="4" t="n">
        <v>108794.85</v>
      </c>
    </row>
    <row r="228" customFormat="false" ht="15" hidden="false" customHeight="true" outlineLevel="0" collapsed="false">
      <c r="A228" s="4" t="s">
        <v>79</v>
      </c>
      <c r="B228" s="5" t="n">
        <v>45658</v>
      </c>
      <c r="C228" s="4" t="s">
        <v>16</v>
      </c>
      <c r="D228" s="4" t="s">
        <v>29</v>
      </c>
      <c r="E228" s="4" t="n">
        <v>68212.29</v>
      </c>
      <c r="F228" s="4" t="n">
        <v>4713</v>
      </c>
      <c r="G228" s="4" t="n">
        <v>0.198</v>
      </c>
      <c r="H228" s="4" t="n">
        <v>15</v>
      </c>
      <c r="I228" s="4" t="n">
        <v>82.6</v>
      </c>
      <c r="J228" s="4" t="n">
        <v>4.07</v>
      </c>
      <c r="K228" s="4" t="n">
        <v>1</v>
      </c>
      <c r="L228" s="4" t="n">
        <v>3</v>
      </c>
      <c r="M228" s="4" t="n">
        <v>641564.6</v>
      </c>
      <c r="N228" s="4" t="n">
        <v>90468.96</v>
      </c>
    </row>
    <row r="229" customFormat="false" ht="15" hidden="false" customHeight="true" outlineLevel="0" collapsed="false">
      <c r="A229" s="4" t="s">
        <v>79</v>
      </c>
      <c r="B229" s="5" t="n">
        <v>45689</v>
      </c>
      <c r="C229" s="4" t="s">
        <v>16</v>
      </c>
      <c r="D229" s="4" t="s">
        <v>29</v>
      </c>
      <c r="E229" s="4" t="n">
        <v>57225.98</v>
      </c>
      <c r="F229" s="4" t="n">
        <v>2842</v>
      </c>
      <c r="G229" s="4" t="n">
        <v>0.112</v>
      </c>
      <c r="H229" s="4" t="n">
        <v>10</v>
      </c>
      <c r="I229" s="4" t="n">
        <v>79.5</v>
      </c>
      <c r="J229" s="4" t="n">
        <v>5.45</v>
      </c>
      <c r="K229" s="4" t="n">
        <v>0</v>
      </c>
      <c r="L229" s="4" t="n">
        <v>3.4</v>
      </c>
      <c r="M229" s="4" t="n">
        <v>536545.49</v>
      </c>
      <c r="N229" s="4" t="n">
        <v>97917.45</v>
      </c>
    </row>
    <row r="230" customFormat="false" ht="15" hidden="false" customHeight="true" outlineLevel="0" collapsed="false">
      <c r="A230" s="4" t="s">
        <v>79</v>
      </c>
      <c r="B230" s="5" t="n">
        <v>45717</v>
      </c>
      <c r="C230" s="4" t="s">
        <v>16</v>
      </c>
      <c r="D230" s="4" t="s">
        <v>29</v>
      </c>
      <c r="E230" s="4" t="n">
        <v>42932.02</v>
      </c>
      <c r="F230" s="4" t="n">
        <v>3872</v>
      </c>
      <c r="G230" s="4" t="n">
        <v>0.171</v>
      </c>
      <c r="H230" s="4" t="n">
        <v>12</v>
      </c>
      <c r="I230" s="4" t="n">
        <v>83.2</v>
      </c>
      <c r="J230" s="4" t="n">
        <v>15.58</v>
      </c>
      <c r="K230" s="4" t="n">
        <v>0</v>
      </c>
      <c r="L230" s="4" t="n">
        <v>3.3</v>
      </c>
      <c r="M230" s="4" t="n">
        <v>527681.56</v>
      </c>
      <c r="N230" s="4" t="n">
        <v>63153.05</v>
      </c>
    </row>
    <row r="231" customFormat="false" ht="15" hidden="false" customHeight="true" outlineLevel="0" collapsed="false">
      <c r="A231" s="4" t="s">
        <v>79</v>
      </c>
      <c r="B231" s="5" t="n">
        <v>45748</v>
      </c>
      <c r="C231" s="4" t="s">
        <v>16</v>
      </c>
      <c r="D231" s="4" t="s">
        <v>29</v>
      </c>
      <c r="E231" s="4" t="n">
        <v>39341.45</v>
      </c>
      <c r="F231" s="4" t="n">
        <v>1375</v>
      </c>
      <c r="G231" s="4" t="n">
        <v>0.093</v>
      </c>
      <c r="H231" s="4" t="n">
        <v>5</v>
      </c>
      <c r="I231" s="4" t="n">
        <v>95</v>
      </c>
      <c r="J231" s="4" t="n">
        <v>5.32</v>
      </c>
      <c r="K231" s="4" t="n">
        <v>0</v>
      </c>
      <c r="L231" s="4"/>
      <c r="M231" s="4" t="n">
        <v>529598.94</v>
      </c>
      <c r="N231" s="4" t="n">
        <v>84334.33</v>
      </c>
    </row>
    <row r="232" customFormat="false" ht="15" hidden="false" customHeight="true" outlineLevel="0" collapsed="false">
      <c r="A232" s="4" t="s">
        <v>80</v>
      </c>
      <c r="B232" s="5" t="n">
        <v>45658</v>
      </c>
      <c r="C232" s="4" t="s">
        <v>16</v>
      </c>
      <c r="D232" s="4" t="s">
        <v>19</v>
      </c>
      <c r="E232" s="4" t="n">
        <v>37324.23</v>
      </c>
      <c r="F232" s="4" t="n">
        <v>5957</v>
      </c>
      <c r="G232" s="4" t="n">
        <v>0.071</v>
      </c>
      <c r="H232" s="4" t="n">
        <v>12</v>
      </c>
      <c r="I232" s="4" t="n">
        <v>85.9</v>
      </c>
      <c r="J232" s="4" t="n">
        <v>0.37</v>
      </c>
      <c r="K232" s="4" t="n">
        <v>0</v>
      </c>
      <c r="L232" s="4" t="n">
        <v>3.8</v>
      </c>
      <c r="M232" s="4" t="n">
        <v>570963.31</v>
      </c>
      <c r="N232" s="4" t="n">
        <v>87342.25</v>
      </c>
    </row>
    <row r="233" customFormat="false" ht="15" hidden="false" customHeight="true" outlineLevel="0" collapsed="false">
      <c r="A233" s="4" t="s">
        <v>80</v>
      </c>
      <c r="B233" s="5" t="n">
        <v>45689</v>
      </c>
      <c r="C233" s="4" t="s">
        <v>16</v>
      </c>
      <c r="D233" s="4" t="s">
        <v>19</v>
      </c>
      <c r="E233" s="4" t="n">
        <v>113736</v>
      </c>
      <c r="F233" s="4" t="n">
        <v>8961</v>
      </c>
      <c r="G233" s="4" t="n">
        <v>0.202</v>
      </c>
      <c r="H233" s="4" t="n">
        <v>24</v>
      </c>
      <c r="I233" s="4" t="n">
        <v>86.2</v>
      </c>
      <c r="J233" s="4" t="n">
        <v>21.63</v>
      </c>
      <c r="K233" s="4" t="n">
        <v>0</v>
      </c>
      <c r="L233" s="4" t="n">
        <v>4</v>
      </c>
      <c r="M233" s="4" t="n">
        <v>870937.4</v>
      </c>
      <c r="N233" s="4" t="n">
        <v>175282.74</v>
      </c>
    </row>
    <row r="234" customFormat="false" ht="15" hidden="false" customHeight="true" outlineLevel="0" collapsed="false">
      <c r="A234" s="4" t="s">
        <v>80</v>
      </c>
      <c r="B234" s="5" t="n">
        <v>45717</v>
      </c>
      <c r="C234" s="4" t="s">
        <v>16</v>
      </c>
      <c r="D234" s="4" t="s">
        <v>19</v>
      </c>
      <c r="E234" s="4" t="n">
        <v>33173.95</v>
      </c>
      <c r="F234" s="4" t="n">
        <v>6545</v>
      </c>
      <c r="G234" s="4" t="n">
        <v>0.169</v>
      </c>
      <c r="H234" s="4" t="n">
        <v>15</v>
      </c>
      <c r="I234" s="4" t="n">
        <v>84.4</v>
      </c>
      <c r="J234" s="4" t="n">
        <v>2.48</v>
      </c>
      <c r="K234" s="4" t="n">
        <v>0</v>
      </c>
      <c r="L234" s="4" t="n">
        <v>3.9</v>
      </c>
      <c r="M234" s="4" t="n">
        <v>596969.27</v>
      </c>
      <c r="N234" s="4" t="n">
        <v>105669.51</v>
      </c>
    </row>
    <row r="235" customFormat="false" ht="15" hidden="false" customHeight="true" outlineLevel="0" collapsed="false">
      <c r="A235" s="4" t="s">
        <v>80</v>
      </c>
      <c r="B235" s="5" t="n">
        <v>45748</v>
      </c>
      <c r="C235" s="4" t="s">
        <v>16</v>
      </c>
      <c r="D235" s="4" t="s">
        <v>19</v>
      </c>
      <c r="E235" s="4" t="n">
        <v>25818.08</v>
      </c>
      <c r="F235" s="4" t="n">
        <v>5457</v>
      </c>
      <c r="G235" s="4" t="n">
        <v>0</v>
      </c>
      <c r="H235" s="4" t="n">
        <v>11</v>
      </c>
      <c r="I235" s="4" t="n">
        <v>95.4</v>
      </c>
      <c r="J235" s="4"/>
      <c r="K235" s="4" t="n">
        <v>0</v>
      </c>
      <c r="L235" s="4" t="n">
        <v>3.7</v>
      </c>
      <c r="M235" s="4" t="n">
        <v>647512.85</v>
      </c>
      <c r="N235" s="4" t="n">
        <v>153835.57</v>
      </c>
    </row>
    <row r="236" customFormat="false" ht="15" hidden="false" customHeight="true" outlineLevel="0" collapsed="false">
      <c r="A236" s="4" t="s">
        <v>81</v>
      </c>
      <c r="B236" s="5" t="n">
        <v>45658</v>
      </c>
      <c r="C236" s="4" t="s">
        <v>28</v>
      </c>
      <c r="D236" s="4" t="s">
        <v>17</v>
      </c>
      <c r="E236" s="4" t="n">
        <v>47241.92</v>
      </c>
      <c r="F236" s="4" t="n">
        <v>4264</v>
      </c>
      <c r="G236" s="4" t="n">
        <v>0.069</v>
      </c>
      <c r="H236" s="4" t="n">
        <v>13</v>
      </c>
      <c r="I236" s="4" t="n">
        <v>95.3</v>
      </c>
      <c r="J236" s="4" t="n">
        <v>0.85</v>
      </c>
      <c r="K236" s="4" t="n">
        <v>0</v>
      </c>
      <c r="L236" s="4" t="n">
        <v>4.3</v>
      </c>
      <c r="M236" s="4" t="n">
        <v>658072.14</v>
      </c>
      <c r="N236" s="4" t="n">
        <v>110595.89</v>
      </c>
    </row>
    <row r="237" customFormat="false" ht="15" hidden="false" customHeight="true" outlineLevel="0" collapsed="false">
      <c r="A237" s="4" t="s">
        <v>81</v>
      </c>
      <c r="B237" s="5" t="n">
        <v>45689</v>
      </c>
      <c r="C237" s="4" t="s">
        <v>28</v>
      </c>
      <c r="D237" s="4" t="s">
        <v>17</v>
      </c>
      <c r="E237" s="4" t="n">
        <v>61650.79</v>
      </c>
      <c r="F237" s="4" t="n">
        <v>5321</v>
      </c>
      <c r="G237" s="4" t="n">
        <v>0.126</v>
      </c>
      <c r="H237" s="4" t="n">
        <v>17</v>
      </c>
      <c r="I237" s="4" t="n">
        <v>89.2</v>
      </c>
      <c r="J237" s="4" t="n">
        <v>2.13</v>
      </c>
      <c r="K237" s="4" t="n">
        <v>0</v>
      </c>
      <c r="L237" s="4" t="n">
        <v>4</v>
      </c>
      <c r="M237" s="4" t="n">
        <v>723305.11</v>
      </c>
      <c r="N237" s="4" t="n">
        <v>128468.7</v>
      </c>
    </row>
    <row r="238" customFormat="false" ht="15" hidden="false" customHeight="true" outlineLevel="0" collapsed="false">
      <c r="A238" s="4" t="s">
        <v>81</v>
      </c>
      <c r="B238" s="5" t="n">
        <v>45717</v>
      </c>
      <c r="C238" s="4" t="s">
        <v>28</v>
      </c>
      <c r="D238" s="4" t="s">
        <v>17</v>
      </c>
      <c r="E238" s="4" t="n">
        <v>62582.71</v>
      </c>
      <c r="F238" s="4" t="n">
        <v>5479</v>
      </c>
      <c r="G238" s="4" t="n">
        <v>0.048</v>
      </c>
      <c r="H238" s="4" t="n">
        <v>16</v>
      </c>
      <c r="I238" s="4" t="n">
        <v>81.2</v>
      </c>
      <c r="J238" s="4" t="n">
        <v>1.46</v>
      </c>
      <c r="K238" s="4" t="n">
        <v>0</v>
      </c>
      <c r="L238" s="4" t="n">
        <v>4.5</v>
      </c>
      <c r="M238" s="4" t="n">
        <v>640666.53</v>
      </c>
      <c r="N238" s="4" t="n">
        <v>134919.16</v>
      </c>
    </row>
    <row r="239" customFormat="false" ht="15" hidden="false" customHeight="true" outlineLevel="0" collapsed="false">
      <c r="A239" s="4" t="s">
        <v>81</v>
      </c>
      <c r="B239" s="5" t="n">
        <v>45748</v>
      </c>
      <c r="C239" s="4" t="s">
        <v>28</v>
      </c>
      <c r="D239" s="4" t="s">
        <v>17</v>
      </c>
      <c r="E239" s="4" t="n">
        <v>47944.14</v>
      </c>
      <c r="F239" s="4" t="n">
        <v>6169</v>
      </c>
      <c r="G239" s="4" t="n">
        <v>0.119</v>
      </c>
      <c r="H239" s="4" t="n">
        <v>17</v>
      </c>
      <c r="I239" s="4" t="n">
        <v>92.2</v>
      </c>
      <c r="J239" s="4" t="n">
        <v>3.02</v>
      </c>
      <c r="K239" s="4" t="n">
        <v>0</v>
      </c>
      <c r="L239" s="4" t="n">
        <v>4.1</v>
      </c>
      <c r="M239" s="4" t="n">
        <v>670629.48</v>
      </c>
      <c r="N239" s="4" t="n">
        <v>100140.8</v>
      </c>
    </row>
    <row r="240" customFormat="false" ht="15" hidden="false" customHeight="true" outlineLevel="0" collapsed="false">
      <c r="A240" s="4" t="s">
        <v>82</v>
      </c>
      <c r="B240" s="5" t="n">
        <v>45658</v>
      </c>
      <c r="C240" s="4" t="s">
        <v>28</v>
      </c>
      <c r="D240" s="4" t="s">
        <v>29</v>
      </c>
      <c r="E240" s="4" t="n">
        <v>46495.4</v>
      </c>
      <c r="F240" s="4" t="n">
        <v>9908</v>
      </c>
      <c r="G240" s="4" t="n">
        <v>0.121</v>
      </c>
      <c r="H240" s="4" t="n">
        <v>22</v>
      </c>
      <c r="I240" s="4" t="n">
        <v>89.4</v>
      </c>
      <c r="J240" s="4" t="n">
        <v>3.22</v>
      </c>
      <c r="K240" s="4" t="n">
        <v>0</v>
      </c>
      <c r="L240" s="4" t="n">
        <v>3.7</v>
      </c>
      <c r="M240" s="4" t="n">
        <v>721079.35</v>
      </c>
      <c r="N240" s="4" t="n">
        <v>115295.05</v>
      </c>
    </row>
    <row r="241" customFormat="false" ht="15" hidden="false" customHeight="true" outlineLevel="0" collapsed="false">
      <c r="A241" s="4" t="s">
        <v>82</v>
      </c>
      <c r="B241" s="5" t="n">
        <v>45689</v>
      </c>
      <c r="C241" s="4" t="s">
        <v>28</v>
      </c>
      <c r="D241" s="4" t="s">
        <v>29</v>
      </c>
      <c r="E241" s="4" t="n">
        <v>72961.95</v>
      </c>
      <c r="F241" s="4" t="n">
        <v>9996</v>
      </c>
      <c r="G241" s="4" t="n">
        <v>0.106</v>
      </c>
      <c r="H241" s="4" t="n">
        <v>22</v>
      </c>
      <c r="I241" s="4" t="n">
        <v>89.1</v>
      </c>
      <c r="J241" s="4" t="n">
        <v>15.66</v>
      </c>
      <c r="K241" s="4" t="n">
        <v>0</v>
      </c>
      <c r="L241" s="4" t="n">
        <v>3.4</v>
      </c>
      <c r="M241" s="4" t="n">
        <v>810355.02</v>
      </c>
      <c r="N241" s="4" t="n">
        <v>131510</v>
      </c>
    </row>
    <row r="242" customFormat="false" ht="15" hidden="false" customHeight="true" outlineLevel="0" collapsed="false">
      <c r="A242" s="4" t="s">
        <v>82</v>
      </c>
      <c r="B242" s="5" t="n">
        <v>45717</v>
      </c>
      <c r="C242" s="4" t="s">
        <v>28</v>
      </c>
      <c r="D242" s="4" t="s">
        <v>29</v>
      </c>
      <c r="E242" s="4" t="n">
        <v>59060.05</v>
      </c>
      <c r="F242" s="4" t="n">
        <v>9702</v>
      </c>
      <c r="G242" s="4" t="n">
        <v>0.201</v>
      </c>
      <c r="H242" s="4" t="n">
        <v>23</v>
      </c>
      <c r="I242" s="4" t="n">
        <v>80.9</v>
      </c>
      <c r="J242" s="4" t="n">
        <v>6.96</v>
      </c>
      <c r="K242" s="4" t="n">
        <v>0</v>
      </c>
      <c r="L242" s="4" t="n">
        <v>3.2</v>
      </c>
      <c r="M242" s="4" t="n">
        <v>761919.25</v>
      </c>
      <c r="N242" s="4" t="n">
        <v>111893.06</v>
      </c>
    </row>
    <row r="243" customFormat="false" ht="15" hidden="false" customHeight="true" outlineLevel="0" collapsed="false">
      <c r="A243" s="4" t="s">
        <v>82</v>
      </c>
      <c r="B243" s="5" t="n">
        <v>45748</v>
      </c>
      <c r="C243" s="4" t="s">
        <v>28</v>
      </c>
      <c r="D243" s="4" t="s">
        <v>29</v>
      </c>
      <c r="E243" s="4" t="n">
        <v>26248.1</v>
      </c>
      <c r="F243" s="4" t="n">
        <v>9314</v>
      </c>
      <c r="G243" s="4" t="n">
        <v>0.186</v>
      </c>
      <c r="H243" s="4" t="n">
        <v>21</v>
      </c>
      <c r="I243" s="4" t="n">
        <v>83.7</v>
      </c>
      <c r="J243" s="4" t="n">
        <v>4.62</v>
      </c>
      <c r="K243" s="4" t="n">
        <v>0</v>
      </c>
      <c r="L243" s="4" t="n">
        <v>3.3</v>
      </c>
      <c r="M243" s="4" t="n">
        <v>737070.18</v>
      </c>
      <c r="N243" s="4" t="n">
        <v>117593.97</v>
      </c>
    </row>
    <row r="244" customFormat="false" ht="15" hidden="false" customHeight="true" outlineLevel="0" collapsed="false">
      <c r="A244" s="4" t="s">
        <v>83</v>
      </c>
      <c r="B244" s="5" t="n">
        <v>45658</v>
      </c>
      <c r="C244" s="4" t="s">
        <v>25</v>
      </c>
      <c r="D244" s="4" t="s">
        <v>22</v>
      </c>
      <c r="E244" s="4" t="n">
        <v>69900.12</v>
      </c>
      <c r="F244" s="4" t="n">
        <v>8055</v>
      </c>
      <c r="G244" s="4" t="n">
        <v>0.281</v>
      </c>
      <c r="H244" s="4" t="n">
        <v>22</v>
      </c>
      <c r="I244" s="4" t="n">
        <v>85.6</v>
      </c>
      <c r="J244" s="4" t="n">
        <v>10.68</v>
      </c>
      <c r="K244" s="4" t="n">
        <v>1</v>
      </c>
      <c r="L244" s="4" t="n">
        <v>2.9</v>
      </c>
      <c r="M244" s="4" t="n">
        <v>776992.93</v>
      </c>
      <c r="N244" s="4" t="n">
        <v>101598.32</v>
      </c>
    </row>
    <row r="245" customFormat="false" ht="15" hidden="false" customHeight="true" outlineLevel="0" collapsed="false">
      <c r="A245" s="4" t="s">
        <v>83</v>
      </c>
      <c r="B245" s="5" t="n">
        <v>45689</v>
      </c>
      <c r="C245" s="4" t="s">
        <v>25</v>
      </c>
      <c r="D245" s="4" t="s">
        <v>22</v>
      </c>
      <c r="E245" s="4" t="n">
        <v>51781.6</v>
      </c>
      <c r="F245" s="4" t="n">
        <v>5648</v>
      </c>
      <c r="G245" s="4" t="n">
        <v>0.059</v>
      </c>
      <c r="H245" s="4" t="n">
        <v>13</v>
      </c>
      <c r="I245" s="4" t="n">
        <v>85.5</v>
      </c>
      <c r="J245" s="4" t="n">
        <v>4.04</v>
      </c>
      <c r="K245" s="4" t="n">
        <v>0</v>
      </c>
      <c r="L245" s="4" t="n">
        <v>3.7</v>
      </c>
      <c r="M245" s="4" t="n">
        <v>676337.41</v>
      </c>
      <c r="N245" s="4" t="n">
        <v>104355.77</v>
      </c>
    </row>
    <row r="246" customFormat="false" ht="15" hidden="false" customHeight="true" outlineLevel="0" collapsed="false">
      <c r="A246" s="4" t="s">
        <v>83</v>
      </c>
      <c r="B246" s="5" t="n">
        <v>45717</v>
      </c>
      <c r="C246" s="4" t="s">
        <v>25</v>
      </c>
      <c r="D246" s="4" t="s">
        <v>22</v>
      </c>
      <c r="E246" s="4" t="n">
        <v>70799.64</v>
      </c>
      <c r="F246" s="4" t="n">
        <v>10076</v>
      </c>
      <c r="G246" s="4" t="n">
        <v>0.152</v>
      </c>
      <c r="H246" s="4" t="n">
        <v>24</v>
      </c>
      <c r="I246" s="4" t="n">
        <v>84.8</v>
      </c>
      <c r="J246" s="4" t="n">
        <v>1.87</v>
      </c>
      <c r="K246" s="4" t="n">
        <v>0</v>
      </c>
      <c r="L246" s="4" t="n">
        <v>3.5</v>
      </c>
      <c r="M246" s="4" t="n">
        <v>828219.67</v>
      </c>
      <c r="N246" s="4" t="n">
        <v>179806.87</v>
      </c>
    </row>
    <row r="247" customFormat="false" ht="15" hidden="false" customHeight="true" outlineLevel="0" collapsed="false">
      <c r="A247" s="4" t="s">
        <v>83</v>
      </c>
      <c r="B247" s="5" t="n">
        <v>45748</v>
      </c>
      <c r="C247" s="4" t="s">
        <v>25</v>
      </c>
      <c r="D247" s="4" t="s">
        <v>22</v>
      </c>
      <c r="E247" s="4" t="n">
        <v>53546.34</v>
      </c>
      <c r="F247" s="4" t="n">
        <v>8004</v>
      </c>
      <c r="G247" s="4" t="n">
        <v>0</v>
      </c>
      <c r="H247" s="4" t="n">
        <v>21</v>
      </c>
      <c r="I247" s="4" t="n">
        <v>95.2</v>
      </c>
      <c r="J247" s="4" t="n">
        <v>2.83</v>
      </c>
      <c r="K247" s="4" t="n">
        <v>0</v>
      </c>
      <c r="L247" s="4" t="n">
        <v>3</v>
      </c>
      <c r="M247" s="4" t="n">
        <v>763159.92</v>
      </c>
      <c r="N247" s="4" t="n">
        <v>177104.87</v>
      </c>
    </row>
    <row r="248" customFormat="false" ht="15" hidden="false" customHeight="true" outlineLevel="0" collapsed="false">
      <c r="A248" s="4" t="s">
        <v>84</v>
      </c>
      <c r="B248" s="5" t="n">
        <v>45658</v>
      </c>
      <c r="C248" s="4" t="s">
        <v>16</v>
      </c>
      <c r="D248" s="4" t="s">
        <v>19</v>
      </c>
      <c r="E248" s="4" t="n">
        <v>76942.2</v>
      </c>
      <c r="F248" s="4" t="n">
        <v>8934</v>
      </c>
      <c r="G248" s="4" t="n">
        <v>0.084</v>
      </c>
      <c r="H248" s="4" t="n">
        <v>20</v>
      </c>
      <c r="I248" s="4" t="n">
        <v>91</v>
      </c>
      <c r="J248" s="4" t="n">
        <v>0.95</v>
      </c>
      <c r="K248" s="4" t="n">
        <v>0</v>
      </c>
      <c r="L248" s="4" t="n">
        <v>3.2</v>
      </c>
      <c r="M248" s="4" t="n">
        <v>802001.68</v>
      </c>
      <c r="N248" s="4" t="n">
        <v>159715.82</v>
      </c>
    </row>
    <row r="249" customFormat="false" ht="15" hidden="false" customHeight="true" outlineLevel="0" collapsed="false">
      <c r="A249" s="4" t="s">
        <v>84</v>
      </c>
      <c r="B249" s="5" t="n">
        <v>45689</v>
      </c>
      <c r="C249" s="4" t="s">
        <v>16</v>
      </c>
      <c r="D249" s="4" t="s">
        <v>19</v>
      </c>
      <c r="E249" s="4" t="n">
        <v>48060.78</v>
      </c>
      <c r="F249" s="4" t="n">
        <v>8733</v>
      </c>
      <c r="G249" s="4" t="n">
        <v>0</v>
      </c>
      <c r="H249" s="4" t="n">
        <v>20</v>
      </c>
      <c r="I249" s="4" t="n">
        <v>89.9</v>
      </c>
      <c r="J249" s="4" t="n">
        <v>0.8</v>
      </c>
      <c r="K249" s="4" t="n">
        <v>0</v>
      </c>
      <c r="L249" s="4" t="n">
        <v>3.4</v>
      </c>
      <c r="M249" s="4" t="n">
        <v>750471.34</v>
      </c>
      <c r="N249" s="4" t="n">
        <v>133788.04</v>
      </c>
    </row>
    <row r="250" customFormat="false" ht="15" hidden="false" customHeight="true" outlineLevel="0" collapsed="false">
      <c r="A250" s="4" t="s">
        <v>84</v>
      </c>
      <c r="B250" s="5" t="n">
        <v>45717</v>
      </c>
      <c r="C250" s="4" t="s">
        <v>16</v>
      </c>
      <c r="D250" s="4" t="s">
        <v>19</v>
      </c>
      <c r="E250" s="4" t="n">
        <v>57390.04</v>
      </c>
      <c r="F250" s="4" t="n">
        <v>7374</v>
      </c>
      <c r="G250" s="4" t="n">
        <v>0.21</v>
      </c>
      <c r="H250" s="4" t="n">
        <v>21</v>
      </c>
      <c r="I250" s="4" t="n">
        <v>91.8</v>
      </c>
      <c r="J250" s="4" t="n">
        <v>0.2</v>
      </c>
      <c r="K250" s="4" t="n">
        <v>0</v>
      </c>
      <c r="L250" s="4" t="n">
        <v>3.1</v>
      </c>
      <c r="M250" s="4" t="n">
        <v>679230.86</v>
      </c>
      <c r="N250" s="4" t="n">
        <v>106927.58</v>
      </c>
    </row>
    <row r="251" customFormat="false" ht="15" hidden="false" customHeight="true" outlineLevel="0" collapsed="false">
      <c r="A251" s="4" t="s">
        <v>84</v>
      </c>
      <c r="B251" s="5" t="n">
        <v>45748</v>
      </c>
      <c r="C251" s="4" t="s">
        <v>16</v>
      </c>
      <c r="D251" s="4" t="s">
        <v>19</v>
      </c>
      <c r="E251" s="4" t="n">
        <v>21536.18</v>
      </c>
      <c r="F251" s="4" t="n">
        <v>8119</v>
      </c>
      <c r="G251" s="4" t="n">
        <v>0.227</v>
      </c>
      <c r="H251" s="4" t="n">
        <v>20</v>
      </c>
      <c r="I251" s="4" t="n">
        <v>90.4</v>
      </c>
      <c r="J251" s="4" t="n">
        <v>1.7</v>
      </c>
      <c r="K251" s="4" t="n">
        <v>0</v>
      </c>
      <c r="L251" s="4" t="n">
        <v>3.3</v>
      </c>
      <c r="M251" s="4" t="n">
        <v>679888.74</v>
      </c>
      <c r="N251" s="4" t="n">
        <v>83406.89</v>
      </c>
    </row>
    <row r="252" customFormat="false" ht="15" hidden="false" customHeight="true" outlineLevel="0" collapsed="false">
      <c r="A252" s="4" t="s">
        <v>85</v>
      </c>
      <c r="B252" s="5" t="n">
        <v>45658</v>
      </c>
      <c r="C252" s="4" t="s">
        <v>21</v>
      </c>
      <c r="D252" s="4" t="s">
        <v>19</v>
      </c>
      <c r="E252" s="4" t="n">
        <v>40923.67</v>
      </c>
      <c r="F252" s="4" t="n">
        <v>3875</v>
      </c>
      <c r="G252" s="4" t="n">
        <v>0.15</v>
      </c>
      <c r="H252" s="4" t="n">
        <v>10</v>
      </c>
      <c r="I252" s="4" t="n">
        <v>96.1</v>
      </c>
      <c r="J252" s="4"/>
      <c r="K252" s="4" t="n">
        <v>0</v>
      </c>
      <c r="L252" s="4" t="n">
        <v>3.8</v>
      </c>
      <c r="M252" s="4" t="n">
        <v>606783.67</v>
      </c>
      <c r="N252" s="4" t="n">
        <v>74515.87</v>
      </c>
    </row>
    <row r="253" customFormat="false" ht="15" hidden="false" customHeight="true" outlineLevel="0" collapsed="false">
      <c r="A253" s="4" t="s">
        <v>85</v>
      </c>
      <c r="B253" s="5" t="n">
        <v>45689</v>
      </c>
      <c r="C253" s="4" t="s">
        <v>21</v>
      </c>
      <c r="D253" s="4" t="s">
        <v>19</v>
      </c>
      <c r="E253" s="4" t="n">
        <v>72932.55</v>
      </c>
      <c r="F253" s="4" t="n">
        <v>5765</v>
      </c>
      <c r="G253" s="4" t="n">
        <v>0.026</v>
      </c>
      <c r="H253" s="4" t="n">
        <v>17</v>
      </c>
      <c r="I253" s="4" t="n">
        <v>81.8</v>
      </c>
      <c r="J253" s="4" t="n">
        <v>5.1</v>
      </c>
      <c r="K253" s="4" t="n">
        <v>0</v>
      </c>
      <c r="L253" s="4" t="n">
        <v>3.6</v>
      </c>
      <c r="M253" s="4" t="n">
        <v>642751.42</v>
      </c>
      <c r="N253" s="4" t="n">
        <v>131942.15</v>
      </c>
    </row>
    <row r="254" customFormat="false" ht="15" hidden="false" customHeight="true" outlineLevel="0" collapsed="false">
      <c r="A254" s="4" t="s">
        <v>85</v>
      </c>
      <c r="B254" s="5" t="n">
        <v>45717</v>
      </c>
      <c r="C254" s="4" t="s">
        <v>21</v>
      </c>
      <c r="D254" s="4" t="s">
        <v>19</v>
      </c>
      <c r="E254" s="4" t="n">
        <v>38361.93</v>
      </c>
      <c r="F254" s="4" t="n">
        <v>6322</v>
      </c>
      <c r="G254" s="4" t="n">
        <v>0.273</v>
      </c>
      <c r="H254" s="4" t="n">
        <v>15</v>
      </c>
      <c r="I254" s="4" t="n">
        <v>88.4</v>
      </c>
      <c r="J254" s="4" t="n">
        <v>0.83</v>
      </c>
      <c r="K254" s="4" t="n">
        <v>0</v>
      </c>
      <c r="L254" s="4" t="n">
        <v>4</v>
      </c>
      <c r="M254" s="4" t="n">
        <v>647953.78</v>
      </c>
      <c r="N254" s="4" t="n">
        <v>118497.43</v>
      </c>
    </row>
    <row r="255" customFormat="false" ht="15" hidden="false" customHeight="true" outlineLevel="0" collapsed="false">
      <c r="A255" s="4" t="s">
        <v>85</v>
      </c>
      <c r="B255" s="5" t="n">
        <v>45748</v>
      </c>
      <c r="C255" s="4" t="s">
        <v>21</v>
      </c>
      <c r="D255" s="4" t="s">
        <v>19</v>
      </c>
      <c r="E255" s="4" t="n">
        <v>97480.94</v>
      </c>
      <c r="F255" s="4" t="n">
        <v>6840</v>
      </c>
      <c r="G255" s="4" t="n">
        <v>0.087</v>
      </c>
      <c r="H255" s="4" t="n">
        <v>14</v>
      </c>
      <c r="I255" s="4" t="n">
        <v>79.2</v>
      </c>
      <c r="J255" s="4" t="n">
        <v>1.14</v>
      </c>
      <c r="K255" s="4" t="n">
        <v>0</v>
      </c>
      <c r="L255" s="4" t="n">
        <v>4</v>
      </c>
      <c r="M255" s="4" t="n">
        <v>729440.45</v>
      </c>
      <c r="N255" s="4" t="n">
        <v>87614.29</v>
      </c>
    </row>
    <row r="256" customFormat="false" ht="15" hidden="false" customHeight="true" outlineLevel="0" collapsed="false">
      <c r="A256" s="4" t="s">
        <v>86</v>
      </c>
      <c r="B256" s="5" t="n">
        <v>45658</v>
      </c>
      <c r="C256" s="4" t="s">
        <v>25</v>
      </c>
      <c r="D256" s="4" t="s">
        <v>22</v>
      </c>
      <c r="E256" s="4" t="n">
        <v>81801.8</v>
      </c>
      <c r="F256" s="4" t="n">
        <v>6782</v>
      </c>
      <c r="G256" s="4" t="n">
        <v>0.05</v>
      </c>
      <c r="H256" s="4" t="n">
        <v>16</v>
      </c>
      <c r="I256" s="4" t="n">
        <v>99</v>
      </c>
      <c r="J256" s="4" t="n">
        <v>9.54</v>
      </c>
      <c r="K256" s="4" t="n">
        <v>0</v>
      </c>
      <c r="L256" s="4" t="n">
        <v>3.7</v>
      </c>
      <c r="M256" s="4" t="n">
        <v>764949</v>
      </c>
      <c r="N256" s="4" t="n">
        <v>148322.43</v>
      </c>
    </row>
    <row r="257" customFormat="false" ht="15" hidden="false" customHeight="true" outlineLevel="0" collapsed="false">
      <c r="A257" s="4" t="s">
        <v>86</v>
      </c>
      <c r="B257" s="5" t="n">
        <v>45689</v>
      </c>
      <c r="C257" s="4" t="s">
        <v>25</v>
      </c>
      <c r="D257" s="4" t="s">
        <v>22</v>
      </c>
      <c r="E257" s="4" t="n">
        <v>63582.11</v>
      </c>
      <c r="F257" s="4" t="n">
        <v>6856</v>
      </c>
      <c r="G257" s="4" t="n">
        <v>0.074</v>
      </c>
      <c r="H257" s="4" t="n">
        <v>17</v>
      </c>
      <c r="I257" s="4" t="n">
        <v>89.5</v>
      </c>
      <c r="J257" s="4" t="n">
        <v>5.48</v>
      </c>
      <c r="K257" s="4" t="n">
        <v>0</v>
      </c>
      <c r="L257" s="4" t="n">
        <v>3.2</v>
      </c>
      <c r="M257" s="4" t="n">
        <v>799046.94</v>
      </c>
      <c r="N257" s="4" t="n">
        <v>144553.64</v>
      </c>
    </row>
    <row r="258" customFormat="false" ht="15" hidden="false" customHeight="true" outlineLevel="0" collapsed="false">
      <c r="A258" s="4" t="s">
        <v>86</v>
      </c>
      <c r="B258" s="5" t="n">
        <v>45717</v>
      </c>
      <c r="C258" s="4" t="s">
        <v>25</v>
      </c>
      <c r="D258" s="4" t="s">
        <v>22</v>
      </c>
      <c r="E258" s="4" t="n">
        <v>75412.74</v>
      </c>
      <c r="F258" s="4" t="n">
        <v>5641</v>
      </c>
      <c r="G258" s="4" t="n">
        <v>0.059</v>
      </c>
      <c r="H258" s="4" t="n">
        <v>13</v>
      </c>
      <c r="I258" s="4" t="n">
        <v>87.9</v>
      </c>
      <c r="J258" s="4" t="n">
        <v>0.84</v>
      </c>
      <c r="K258" s="4" t="n">
        <v>0</v>
      </c>
      <c r="L258" s="4" t="n">
        <v>3.6</v>
      </c>
      <c r="M258" s="4" t="n">
        <v>720079.54</v>
      </c>
      <c r="N258" s="4" t="n">
        <v>119499.47</v>
      </c>
    </row>
    <row r="259" customFormat="false" ht="15" hidden="false" customHeight="true" outlineLevel="0" collapsed="false">
      <c r="A259" s="4" t="s">
        <v>86</v>
      </c>
      <c r="B259" s="5" t="n">
        <v>45748</v>
      </c>
      <c r="C259" s="4" t="s">
        <v>25</v>
      </c>
      <c r="D259" s="4" t="s">
        <v>22</v>
      </c>
      <c r="E259" s="4" t="n">
        <v>36290.08</v>
      </c>
      <c r="F259" s="4" t="n">
        <v>5787</v>
      </c>
      <c r="G259" s="4" t="n">
        <v>0</v>
      </c>
      <c r="H259" s="4" t="n">
        <v>17</v>
      </c>
      <c r="I259" s="4" t="n">
        <v>88.3</v>
      </c>
      <c r="J259" s="4" t="n">
        <v>4.19</v>
      </c>
      <c r="K259" s="4" t="n">
        <v>0</v>
      </c>
      <c r="L259" s="4" t="n">
        <v>4.1</v>
      </c>
      <c r="M259" s="4" t="n">
        <v>612390.14</v>
      </c>
      <c r="N259" s="4" t="n">
        <v>108985.74</v>
      </c>
    </row>
    <row r="260" customFormat="false" ht="15" hidden="false" customHeight="true" outlineLevel="0" collapsed="false">
      <c r="A260" s="4" t="s">
        <v>87</v>
      </c>
      <c r="B260" s="5" t="n">
        <v>45658</v>
      </c>
      <c r="C260" s="4" t="s">
        <v>25</v>
      </c>
      <c r="D260" s="4" t="s">
        <v>29</v>
      </c>
      <c r="E260" s="4" t="n">
        <v>65272.58</v>
      </c>
      <c r="F260" s="4" t="n">
        <v>8165</v>
      </c>
      <c r="G260" s="4" t="n">
        <v>0.051</v>
      </c>
      <c r="H260" s="4" t="n">
        <v>19</v>
      </c>
      <c r="I260" s="4" t="n">
        <v>87.8</v>
      </c>
      <c r="J260" s="4" t="n">
        <v>1.26</v>
      </c>
      <c r="K260" s="4" t="n">
        <v>1</v>
      </c>
      <c r="L260" s="4" t="n">
        <v>4.3</v>
      </c>
      <c r="M260" s="4" t="n">
        <v>840108.12</v>
      </c>
      <c r="N260" s="4" t="n">
        <v>126587.01</v>
      </c>
    </row>
    <row r="261" customFormat="false" ht="15" hidden="false" customHeight="true" outlineLevel="0" collapsed="false">
      <c r="A261" s="4" t="s">
        <v>87</v>
      </c>
      <c r="B261" s="5" t="n">
        <v>45689</v>
      </c>
      <c r="C261" s="4" t="s">
        <v>25</v>
      </c>
      <c r="D261" s="4" t="s">
        <v>29</v>
      </c>
      <c r="E261" s="4" t="n">
        <v>28670.43</v>
      </c>
      <c r="F261" s="4" t="n">
        <v>7574</v>
      </c>
      <c r="G261" s="4" t="n">
        <v>0.114</v>
      </c>
      <c r="H261" s="4" t="n">
        <v>19</v>
      </c>
      <c r="I261" s="4" t="n">
        <v>82.7</v>
      </c>
      <c r="J261" s="4" t="n">
        <v>2.74</v>
      </c>
      <c r="K261" s="4" t="n">
        <v>0</v>
      </c>
      <c r="L261" s="4" t="n">
        <v>4.6</v>
      </c>
      <c r="M261" s="4" t="n">
        <v>697888.09</v>
      </c>
      <c r="N261" s="4" t="n">
        <v>116249.87</v>
      </c>
    </row>
    <row r="262" customFormat="false" ht="15" hidden="false" customHeight="true" outlineLevel="0" collapsed="false">
      <c r="A262" s="4" t="s">
        <v>87</v>
      </c>
      <c r="B262" s="5" t="n">
        <v>45717</v>
      </c>
      <c r="C262" s="4" t="s">
        <v>25</v>
      </c>
      <c r="D262" s="4" t="s">
        <v>29</v>
      </c>
      <c r="E262" s="4" t="n">
        <v>44189.34</v>
      </c>
      <c r="F262" s="4" t="n">
        <v>8634</v>
      </c>
      <c r="G262" s="4" t="n">
        <v>0.143</v>
      </c>
      <c r="H262" s="4" t="n">
        <v>19</v>
      </c>
      <c r="I262" s="4" t="n">
        <v>87.5</v>
      </c>
      <c r="J262" s="4" t="n">
        <v>3.69</v>
      </c>
      <c r="K262" s="4" t="n">
        <v>0</v>
      </c>
      <c r="L262" s="4" t="n">
        <v>4.4</v>
      </c>
      <c r="M262" s="4" t="n">
        <v>746115.59</v>
      </c>
      <c r="N262" s="4" t="n">
        <v>94662.96</v>
      </c>
    </row>
    <row r="263" customFormat="false" ht="15" hidden="false" customHeight="true" outlineLevel="0" collapsed="false">
      <c r="A263" s="4" t="s">
        <v>87</v>
      </c>
      <c r="B263" s="5" t="n">
        <v>45748</v>
      </c>
      <c r="C263" s="4" t="s">
        <v>25</v>
      </c>
      <c r="D263" s="4" t="s">
        <v>29</v>
      </c>
      <c r="E263" s="4" t="n">
        <v>38397.82</v>
      </c>
      <c r="F263" s="4" t="n">
        <v>7836</v>
      </c>
      <c r="G263" s="4" t="n">
        <v>0.007</v>
      </c>
      <c r="H263" s="4" t="n">
        <v>21</v>
      </c>
      <c r="I263" s="4" t="n">
        <v>92.2</v>
      </c>
      <c r="J263" s="4" t="n">
        <v>1.82</v>
      </c>
      <c r="K263" s="4" t="n">
        <v>0</v>
      </c>
      <c r="L263" s="4" t="n">
        <v>3.6</v>
      </c>
      <c r="M263" s="4" t="n">
        <v>776110.32</v>
      </c>
      <c r="N263" s="4" t="n">
        <v>139676.21</v>
      </c>
    </row>
    <row r="264" customFormat="false" ht="15" hidden="false" customHeight="true" outlineLevel="0" collapsed="false">
      <c r="A264" s="4" t="s">
        <v>88</v>
      </c>
      <c r="B264" s="5" t="n">
        <v>45658</v>
      </c>
      <c r="C264" s="4" t="s">
        <v>28</v>
      </c>
      <c r="D264" s="4" t="s">
        <v>19</v>
      </c>
      <c r="E264" s="4" t="n">
        <v>14519.37</v>
      </c>
      <c r="F264" s="4" t="n">
        <v>3047</v>
      </c>
      <c r="G264" s="4" t="n">
        <v>0.135</v>
      </c>
      <c r="H264" s="4" t="n">
        <v>10</v>
      </c>
      <c r="I264" s="4" t="n">
        <v>90.3</v>
      </c>
      <c r="J264" s="4" t="n">
        <v>6.62</v>
      </c>
      <c r="K264" s="4" t="n">
        <v>0</v>
      </c>
      <c r="L264" s="4" t="n">
        <v>4.2</v>
      </c>
      <c r="M264" s="4" t="n">
        <v>528852.62</v>
      </c>
      <c r="N264" s="4" t="n">
        <v>68426.21</v>
      </c>
    </row>
    <row r="265" customFormat="false" ht="15" hidden="false" customHeight="true" outlineLevel="0" collapsed="false">
      <c r="A265" s="4" t="s">
        <v>88</v>
      </c>
      <c r="B265" s="5" t="n">
        <v>45689</v>
      </c>
      <c r="C265" s="4" t="s">
        <v>28</v>
      </c>
      <c r="D265" s="4" t="s">
        <v>19</v>
      </c>
      <c r="E265" s="4" t="n">
        <v>43288.2</v>
      </c>
      <c r="F265" s="4" t="n">
        <v>4783</v>
      </c>
      <c r="G265" s="4" t="n">
        <v>0.169</v>
      </c>
      <c r="H265" s="4" t="n">
        <v>13</v>
      </c>
      <c r="I265" s="4" t="n">
        <v>87.3</v>
      </c>
      <c r="J265" s="4"/>
      <c r="K265" s="4" t="n">
        <v>0</v>
      </c>
      <c r="L265" s="4" t="n">
        <v>4.2</v>
      </c>
      <c r="M265" s="4" t="n">
        <v>605751.33</v>
      </c>
      <c r="N265" s="4" t="n">
        <v>60685.53</v>
      </c>
    </row>
    <row r="266" customFormat="false" ht="15" hidden="false" customHeight="true" outlineLevel="0" collapsed="false">
      <c r="A266" s="4" t="s">
        <v>88</v>
      </c>
      <c r="B266" s="5" t="n">
        <v>45717</v>
      </c>
      <c r="C266" s="4" t="s">
        <v>28</v>
      </c>
      <c r="D266" s="4" t="s">
        <v>19</v>
      </c>
      <c r="E266" s="4" t="n">
        <v>51450.55</v>
      </c>
      <c r="F266" s="4" t="n">
        <v>4902</v>
      </c>
      <c r="G266" s="4" t="n">
        <v>0.086</v>
      </c>
      <c r="H266" s="4" t="n">
        <v>11</v>
      </c>
      <c r="I266" s="4" t="n">
        <v>83.7</v>
      </c>
      <c r="J266" s="4" t="n">
        <v>6.92</v>
      </c>
      <c r="K266" s="4" t="n">
        <v>1</v>
      </c>
      <c r="L266" s="4" t="n">
        <v>4.2</v>
      </c>
      <c r="M266" s="4" t="n">
        <v>677640.65</v>
      </c>
      <c r="N266" s="4" t="n">
        <v>111610.89</v>
      </c>
    </row>
    <row r="267" customFormat="false" ht="15" hidden="false" customHeight="true" outlineLevel="0" collapsed="false">
      <c r="A267" s="4" t="s">
        <v>88</v>
      </c>
      <c r="B267" s="5" t="n">
        <v>45748</v>
      </c>
      <c r="C267" s="4" t="s">
        <v>28</v>
      </c>
      <c r="D267" s="4" t="s">
        <v>19</v>
      </c>
      <c r="E267" s="4" t="n">
        <v>58688.26</v>
      </c>
      <c r="F267" s="4" t="n">
        <v>4022</v>
      </c>
      <c r="G267" s="4" t="n">
        <v>0.217</v>
      </c>
      <c r="H267" s="4" t="n">
        <v>12</v>
      </c>
      <c r="I267" s="4" t="n">
        <v>93.8</v>
      </c>
      <c r="J267" s="4" t="n">
        <v>11.78</v>
      </c>
      <c r="K267" s="4" t="n">
        <v>0</v>
      </c>
      <c r="L267" s="4" t="n">
        <v>3.7</v>
      </c>
      <c r="M267" s="4" t="n">
        <v>636613.23</v>
      </c>
      <c r="N267" s="4" t="n">
        <v>78908.35</v>
      </c>
    </row>
    <row r="268" customFormat="false" ht="15" hidden="false" customHeight="true" outlineLevel="0" collapsed="false">
      <c r="A268" s="4" t="s">
        <v>89</v>
      </c>
      <c r="B268" s="5" t="n">
        <v>45658</v>
      </c>
      <c r="C268" s="4" t="s">
        <v>16</v>
      </c>
      <c r="D268" s="4" t="s">
        <v>19</v>
      </c>
      <c r="E268" s="4" t="n">
        <v>58981.91</v>
      </c>
      <c r="F268" s="4" t="n">
        <v>7324</v>
      </c>
      <c r="G268" s="4" t="n">
        <v>0.094</v>
      </c>
      <c r="H268" s="4" t="n">
        <v>15</v>
      </c>
      <c r="I268" s="4" t="n">
        <v>95.8</v>
      </c>
      <c r="J268" s="4" t="n">
        <v>0.5</v>
      </c>
      <c r="K268" s="4" t="n">
        <v>0</v>
      </c>
      <c r="L268" s="4" t="n">
        <v>3.5</v>
      </c>
      <c r="M268" s="4" t="n">
        <v>708985.19</v>
      </c>
      <c r="N268" s="4" t="n">
        <v>125368.16</v>
      </c>
    </row>
    <row r="269" customFormat="false" ht="15" hidden="false" customHeight="true" outlineLevel="0" collapsed="false">
      <c r="A269" s="4" t="s">
        <v>89</v>
      </c>
      <c r="B269" s="5" t="n">
        <v>45689</v>
      </c>
      <c r="C269" s="4" t="s">
        <v>16</v>
      </c>
      <c r="D269" s="4" t="s">
        <v>19</v>
      </c>
      <c r="E269" s="4" t="n">
        <v>73454.54</v>
      </c>
      <c r="F269" s="4" t="n">
        <v>8129</v>
      </c>
      <c r="G269" s="4" t="n">
        <v>0.211</v>
      </c>
      <c r="H269" s="4" t="n">
        <v>20</v>
      </c>
      <c r="I269" s="4" t="n">
        <v>85.2</v>
      </c>
      <c r="J269" s="4" t="n">
        <v>0.88</v>
      </c>
      <c r="K269" s="4" t="n">
        <v>0</v>
      </c>
      <c r="L269" s="4" t="n">
        <v>3.7</v>
      </c>
      <c r="M269" s="4" t="n">
        <v>767792.94</v>
      </c>
      <c r="N269" s="4" t="n">
        <v>96235.77</v>
      </c>
    </row>
    <row r="270" customFormat="false" ht="15" hidden="false" customHeight="true" outlineLevel="0" collapsed="false">
      <c r="A270" s="4" t="s">
        <v>89</v>
      </c>
      <c r="B270" s="5" t="n">
        <v>45717</v>
      </c>
      <c r="C270" s="4" t="s">
        <v>16</v>
      </c>
      <c r="D270" s="4" t="s">
        <v>19</v>
      </c>
      <c r="E270" s="4" t="n">
        <v>56602.39</v>
      </c>
      <c r="F270" s="4" t="n">
        <v>7969</v>
      </c>
      <c r="G270" s="4" t="n">
        <v>0.17</v>
      </c>
      <c r="H270" s="4" t="n">
        <v>21</v>
      </c>
      <c r="I270" s="4" t="n">
        <v>88.3</v>
      </c>
      <c r="J270" s="4" t="n">
        <v>2.25</v>
      </c>
      <c r="K270" s="4" t="n">
        <v>0</v>
      </c>
      <c r="L270" s="4" t="n">
        <v>3.7</v>
      </c>
      <c r="M270" s="4" t="n">
        <v>745580.51</v>
      </c>
      <c r="N270" s="4" t="n">
        <v>116273.68</v>
      </c>
    </row>
    <row r="271" customFormat="false" ht="15" hidden="false" customHeight="true" outlineLevel="0" collapsed="false">
      <c r="A271" s="4" t="s">
        <v>89</v>
      </c>
      <c r="B271" s="5" t="n">
        <v>45748</v>
      </c>
      <c r="C271" s="4" t="s">
        <v>16</v>
      </c>
      <c r="D271" s="4" t="s">
        <v>19</v>
      </c>
      <c r="E271" s="4" t="n">
        <v>67722.29</v>
      </c>
      <c r="F271" s="4" t="n">
        <v>7240</v>
      </c>
      <c r="G271" s="4" t="n">
        <v>0.026</v>
      </c>
      <c r="H271" s="4" t="n">
        <v>15</v>
      </c>
      <c r="I271" s="4" t="n">
        <v>92.9</v>
      </c>
      <c r="J271" s="4" t="n">
        <v>0.29</v>
      </c>
      <c r="K271" s="4" t="n">
        <v>0</v>
      </c>
      <c r="L271" s="4" t="n">
        <v>3.5</v>
      </c>
      <c r="M271" s="4" t="n">
        <v>762328.31</v>
      </c>
      <c r="N271" s="4" t="n">
        <v>159158.19</v>
      </c>
    </row>
    <row r="272" customFormat="false" ht="15" hidden="false" customHeight="true" outlineLevel="0" collapsed="false">
      <c r="A272" s="4" t="s">
        <v>90</v>
      </c>
      <c r="B272" s="5" t="n">
        <v>45658</v>
      </c>
      <c r="C272" s="4" t="s">
        <v>16</v>
      </c>
      <c r="D272" s="4" t="s">
        <v>29</v>
      </c>
      <c r="E272" s="4" t="n">
        <v>48752.92</v>
      </c>
      <c r="F272" s="4" t="n">
        <v>8052</v>
      </c>
      <c r="G272" s="4" t="n">
        <v>0.106</v>
      </c>
      <c r="H272" s="4" t="n">
        <v>16</v>
      </c>
      <c r="I272" s="4" t="n">
        <v>94.9</v>
      </c>
      <c r="J272" s="4" t="n">
        <v>0.65</v>
      </c>
      <c r="K272" s="4" t="n">
        <v>0</v>
      </c>
      <c r="L272" s="4" t="n">
        <v>3.6</v>
      </c>
      <c r="M272" s="4" t="n">
        <v>660633.99</v>
      </c>
      <c r="N272" s="4" t="n">
        <v>118768.66</v>
      </c>
    </row>
    <row r="273" customFormat="false" ht="15" hidden="false" customHeight="true" outlineLevel="0" collapsed="false">
      <c r="A273" s="4" t="s">
        <v>90</v>
      </c>
      <c r="B273" s="5" t="n">
        <v>45689</v>
      </c>
      <c r="C273" s="4" t="s">
        <v>16</v>
      </c>
      <c r="D273" s="4" t="s">
        <v>29</v>
      </c>
      <c r="E273" s="4" t="n">
        <v>23914.97</v>
      </c>
      <c r="F273" s="4" t="n">
        <v>8018</v>
      </c>
      <c r="G273" s="4" t="n">
        <v>0.139</v>
      </c>
      <c r="H273" s="4" t="n">
        <v>20</v>
      </c>
      <c r="I273" s="4" t="n">
        <v>89</v>
      </c>
      <c r="J273" s="4" t="n">
        <v>0.2</v>
      </c>
      <c r="K273" s="4" t="n">
        <v>0</v>
      </c>
      <c r="L273" s="4" t="n">
        <v>3.5</v>
      </c>
      <c r="M273" s="4" t="n">
        <v>739374.56</v>
      </c>
      <c r="N273" s="4" t="n">
        <v>121032.29</v>
      </c>
    </row>
    <row r="274" customFormat="false" ht="15" hidden="false" customHeight="true" outlineLevel="0" collapsed="false">
      <c r="A274" s="4" t="s">
        <v>90</v>
      </c>
      <c r="B274" s="5" t="n">
        <v>45717</v>
      </c>
      <c r="C274" s="4" t="s">
        <v>16</v>
      </c>
      <c r="D274" s="4" t="s">
        <v>29</v>
      </c>
      <c r="E274" s="4" t="n">
        <v>61995.3</v>
      </c>
      <c r="F274" s="4" t="n">
        <v>10192</v>
      </c>
      <c r="G274" s="4" t="n">
        <v>0.198</v>
      </c>
      <c r="H274" s="4" t="n">
        <v>21</v>
      </c>
      <c r="I274" s="4" t="n">
        <v>87.6</v>
      </c>
      <c r="J274" s="4" t="n">
        <v>3.63</v>
      </c>
      <c r="K274" s="4" t="n">
        <v>1</v>
      </c>
      <c r="L274" s="4" t="n">
        <v>3.8</v>
      </c>
      <c r="M274" s="4" t="n">
        <v>799756.46</v>
      </c>
      <c r="N274" s="4" t="n">
        <v>105052.93</v>
      </c>
    </row>
    <row r="275" customFormat="false" ht="15" hidden="false" customHeight="true" outlineLevel="0" collapsed="false">
      <c r="A275" s="4" t="s">
        <v>90</v>
      </c>
      <c r="B275" s="5" t="n">
        <v>45748</v>
      </c>
      <c r="C275" s="4" t="s">
        <v>16</v>
      </c>
      <c r="D275" s="4" t="s">
        <v>29</v>
      </c>
      <c r="E275" s="4" t="n">
        <v>29344.93</v>
      </c>
      <c r="F275" s="4" t="n">
        <v>7446</v>
      </c>
      <c r="G275" s="4" t="n">
        <v>0.111</v>
      </c>
      <c r="H275" s="4" t="n">
        <v>15</v>
      </c>
      <c r="I275" s="4" t="n">
        <v>86.2</v>
      </c>
      <c r="J275" s="4" t="n">
        <v>0.2</v>
      </c>
      <c r="K275" s="4" t="n">
        <v>0</v>
      </c>
      <c r="L275" s="4" t="n">
        <v>3.2</v>
      </c>
      <c r="M275" s="4" t="n">
        <v>593343</v>
      </c>
      <c r="N275" s="4" t="n">
        <v>82832.24</v>
      </c>
    </row>
    <row r="276" customFormat="false" ht="15" hidden="false" customHeight="true" outlineLevel="0" collapsed="false">
      <c r="A276" s="4" t="s">
        <v>91</v>
      </c>
      <c r="B276" s="5" t="n">
        <v>45658</v>
      </c>
      <c r="C276" s="4" t="s">
        <v>28</v>
      </c>
      <c r="D276" s="4" t="s">
        <v>19</v>
      </c>
      <c r="E276" s="4" t="n">
        <v>50532.17</v>
      </c>
      <c r="F276" s="4" t="n">
        <v>5689</v>
      </c>
      <c r="G276" s="4" t="n">
        <v>0.052</v>
      </c>
      <c r="H276" s="4" t="n">
        <v>17</v>
      </c>
      <c r="I276" s="4" t="n">
        <v>85.6</v>
      </c>
      <c r="J276" s="4" t="n">
        <v>6.23</v>
      </c>
      <c r="K276" s="4" t="n">
        <v>0</v>
      </c>
      <c r="L276" s="4" t="n">
        <v>3.3</v>
      </c>
      <c r="M276" s="4" t="n">
        <v>645039.97</v>
      </c>
      <c r="N276" s="4" t="n">
        <v>83093.33</v>
      </c>
    </row>
    <row r="277" customFormat="false" ht="15" hidden="false" customHeight="true" outlineLevel="0" collapsed="false">
      <c r="A277" s="4" t="s">
        <v>91</v>
      </c>
      <c r="B277" s="5" t="n">
        <v>45689</v>
      </c>
      <c r="C277" s="4" t="s">
        <v>28</v>
      </c>
      <c r="D277" s="4" t="s">
        <v>19</v>
      </c>
      <c r="E277" s="4" t="n">
        <v>17562.57</v>
      </c>
      <c r="F277" s="4" t="n">
        <v>3326</v>
      </c>
      <c r="G277" s="4" t="n">
        <v>0.153</v>
      </c>
      <c r="H277" s="4" t="n">
        <v>14</v>
      </c>
      <c r="I277" s="4" t="n">
        <v>88.1</v>
      </c>
      <c r="J277" s="4" t="n">
        <v>1.04</v>
      </c>
      <c r="K277" s="4" t="n">
        <v>0</v>
      </c>
      <c r="L277" s="4" t="n">
        <v>3.1</v>
      </c>
      <c r="M277" s="4" t="n">
        <v>561597.33</v>
      </c>
      <c r="N277" s="4" t="n">
        <v>75072.75</v>
      </c>
    </row>
    <row r="278" customFormat="false" ht="15" hidden="false" customHeight="true" outlineLevel="0" collapsed="false">
      <c r="A278" s="4" t="s">
        <v>91</v>
      </c>
      <c r="B278" s="5" t="n">
        <v>45717</v>
      </c>
      <c r="C278" s="4" t="s">
        <v>28</v>
      </c>
      <c r="D278" s="4" t="s">
        <v>19</v>
      </c>
      <c r="E278" s="4" t="n">
        <v>47648.71</v>
      </c>
      <c r="F278" s="4" t="n">
        <v>5767</v>
      </c>
      <c r="G278" s="4" t="n">
        <v>0.141</v>
      </c>
      <c r="H278" s="4" t="n">
        <v>17</v>
      </c>
      <c r="I278" s="4" t="n">
        <v>89.8</v>
      </c>
      <c r="J278" s="4" t="n">
        <v>1.76</v>
      </c>
      <c r="K278" s="4" t="n">
        <v>0</v>
      </c>
      <c r="L278" s="4" t="n">
        <v>3.1</v>
      </c>
      <c r="M278" s="4" t="n">
        <v>635837.74</v>
      </c>
      <c r="N278" s="4" t="n">
        <v>114740.64</v>
      </c>
    </row>
    <row r="279" customFormat="false" ht="15" hidden="false" customHeight="true" outlineLevel="0" collapsed="false">
      <c r="A279" s="4" t="s">
        <v>91</v>
      </c>
      <c r="B279" s="5" t="n">
        <v>45748</v>
      </c>
      <c r="C279" s="4" t="s">
        <v>28</v>
      </c>
      <c r="D279" s="4" t="s">
        <v>19</v>
      </c>
      <c r="E279" s="4" t="n">
        <v>38297.58</v>
      </c>
      <c r="F279" s="4" t="n">
        <v>5893</v>
      </c>
      <c r="G279" s="4" t="n">
        <v>0.247</v>
      </c>
      <c r="H279" s="4" t="n">
        <v>18</v>
      </c>
      <c r="I279" s="4" t="n">
        <v>77.6</v>
      </c>
      <c r="J279" s="4" t="n">
        <v>2.86</v>
      </c>
      <c r="K279" s="4" t="n">
        <v>0</v>
      </c>
      <c r="L279" s="4" t="n">
        <v>3</v>
      </c>
      <c r="M279" s="4" t="n">
        <v>686737.87</v>
      </c>
      <c r="N279" s="4" t="n">
        <v>83839.67</v>
      </c>
    </row>
    <row r="280" customFormat="false" ht="15" hidden="false" customHeight="true" outlineLevel="0" collapsed="false">
      <c r="A280" s="4" t="s">
        <v>92</v>
      </c>
      <c r="B280" s="5" t="n">
        <v>45658</v>
      </c>
      <c r="C280" s="4" t="s">
        <v>25</v>
      </c>
      <c r="D280" s="4" t="s">
        <v>17</v>
      </c>
      <c r="E280" s="4" t="n">
        <v>61784.11</v>
      </c>
      <c r="F280" s="4" t="n">
        <v>8564</v>
      </c>
      <c r="G280" s="4" t="n">
        <v>0.13</v>
      </c>
      <c r="H280" s="4" t="n">
        <v>17</v>
      </c>
      <c r="I280" s="4" t="n">
        <v>87.4</v>
      </c>
      <c r="J280" s="4" t="n">
        <v>18.14</v>
      </c>
      <c r="K280" s="4" t="n">
        <v>1</v>
      </c>
      <c r="L280" s="4" t="n">
        <v>3.4</v>
      </c>
      <c r="M280" s="4" t="n">
        <v>673076.34</v>
      </c>
      <c r="N280" s="4" t="n">
        <v>93899.76</v>
      </c>
    </row>
    <row r="281" customFormat="false" ht="15" hidden="false" customHeight="true" outlineLevel="0" collapsed="false">
      <c r="A281" s="4" t="s">
        <v>92</v>
      </c>
      <c r="B281" s="5" t="n">
        <v>45689</v>
      </c>
      <c r="C281" s="4" t="s">
        <v>25</v>
      </c>
      <c r="D281" s="4" t="s">
        <v>17</v>
      </c>
      <c r="E281" s="4" t="n">
        <v>36832.33</v>
      </c>
      <c r="F281" s="4" t="n">
        <v>8001</v>
      </c>
      <c r="G281" s="4" t="n">
        <v>0</v>
      </c>
      <c r="H281" s="4" t="n">
        <v>19</v>
      </c>
      <c r="I281" s="4" t="n">
        <v>88.7</v>
      </c>
      <c r="J281" s="4" t="n">
        <v>3.39</v>
      </c>
      <c r="K281" s="4" t="n">
        <v>0</v>
      </c>
      <c r="L281" s="4" t="n">
        <v>4</v>
      </c>
      <c r="M281" s="4" t="n">
        <v>738548.42</v>
      </c>
      <c r="N281" s="4" t="n">
        <v>134282.77</v>
      </c>
    </row>
    <row r="282" customFormat="false" ht="15" hidden="false" customHeight="true" outlineLevel="0" collapsed="false">
      <c r="A282" s="4" t="s">
        <v>92</v>
      </c>
      <c r="B282" s="5" t="n">
        <v>45717</v>
      </c>
      <c r="C282" s="4" t="s">
        <v>25</v>
      </c>
      <c r="D282" s="4" t="s">
        <v>17</v>
      </c>
      <c r="E282" s="4" t="n">
        <v>48609.41</v>
      </c>
      <c r="F282" s="4" t="n">
        <v>9324</v>
      </c>
      <c r="G282" s="4" t="n">
        <v>0.213</v>
      </c>
      <c r="H282" s="4" t="n">
        <v>18</v>
      </c>
      <c r="I282" s="4" t="n">
        <v>86.5</v>
      </c>
      <c r="J282" s="4" t="n">
        <v>1.44</v>
      </c>
      <c r="K282" s="4" t="n">
        <v>0</v>
      </c>
      <c r="L282" s="4" t="n">
        <v>3.9</v>
      </c>
      <c r="M282" s="4" t="n">
        <v>756619.77</v>
      </c>
      <c r="N282" s="4" t="n">
        <v>112057.69</v>
      </c>
    </row>
    <row r="283" customFormat="false" ht="15" hidden="false" customHeight="true" outlineLevel="0" collapsed="false">
      <c r="A283" s="4" t="s">
        <v>92</v>
      </c>
      <c r="B283" s="5" t="n">
        <v>45748</v>
      </c>
      <c r="C283" s="4" t="s">
        <v>25</v>
      </c>
      <c r="D283" s="4" t="s">
        <v>17</v>
      </c>
      <c r="E283" s="4" t="n">
        <v>70284.06</v>
      </c>
      <c r="F283" s="4" t="n">
        <v>9109</v>
      </c>
      <c r="G283" s="4" t="n">
        <v>0.004</v>
      </c>
      <c r="H283" s="4" t="n">
        <v>23</v>
      </c>
      <c r="I283" s="4" t="n">
        <v>87</v>
      </c>
      <c r="J283" s="4" t="n">
        <v>3.65</v>
      </c>
      <c r="K283" s="4" t="n">
        <v>0</v>
      </c>
      <c r="L283" s="4" t="n">
        <v>3.7</v>
      </c>
      <c r="M283" s="4" t="n">
        <v>761122.42</v>
      </c>
      <c r="N283" s="4" t="n">
        <v>149802.04</v>
      </c>
    </row>
    <row r="284" customFormat="false" ht="15" hidden="false" customHeight="true" outlineLevel="0" collapsed="false">
      <c r="A284" s="4" t="s">
        <v>93</v>
      </c>
      <c r="B284" s="5" t="n">
        <v>45658</v>
      </c>
      <c r="C284" s="4" t="s">
        <v>25</v>
      </c>
      <c r="D284" s="4" t="s">
        <v>19</v>
      </c>
      <c r="E284" s="4" t="n">
        <v>45940.39</v>
      </c>
      <c r="F284" s="4" t="n">
        <v>4022</v>
      </c>
      <c r="G284" s="4" t="n">
        <v>0.069</v>
      </c>
      <c r="H284" s="4" t="n">
        <v>10</v>
      </c>
      <c r="I284" s="4" t="n">
        <v>83</v>
      </c>
      <c r="J284" s="4" t="n">
        <v>1.23</v>
      </c>
      <c r="K284" s="4" t="n">
        <v>1</v>
      </c>
      <c r="L284" s="4" t="n">
        <v>3.8</v>
      </c>
      <c r="M284" s="4" t="n">
        <v>524899.57</v>
      </c>
      <c r="N284" s="4" t="n">
        <v>63619.98</v>
      </c>
    </row>
    <row r="285" customFormat="false" ht="15" hidden="false" customHeight="true" outlineLevel="0" collapsed="false">
      <c r="A285" s="4" t="s">
        <v>93</v>
      </c>
      <c r="B285" s="5" t="n">
        <v>45689</v>
      </c>
      <c r="C285" s="4" t="s">
        <v>25</v>
      </c>
      <c r="D285" s="4" t="s">
        <v>19</v>
      </c>
      <c r="E285" s="4" t="n">
        <v>34771.26</v>
      </c>
      <c r="F285" s="4" t="n">
        <v>4355</v>
      </c>
      <c r="G285" s="4" t="n">
        <v>0.051</v>
      </c>
      <c r="H285" s="4" t="n">
        <v>15</v>
      </c>
      <c r="I285" s="4" t="n">
        <v>87.9</v>
      </c>
      <c r="J285" s="4" t="n">
        <v>3.09</v>
      </c>
      <c r="K285" s="4" t="n">
        <v>0</v>
      </c>
      <c r="L285" s="4" t="n">
        <v>4</v>
      </c>
      <c r="M285" s="4" t="n">
        <v>555557.77</v>
      </c>
      <c r="N285" s="4" t="n">
        <v>86475.51</v>
      </c>
    </row>
    <row r="286" customFormat="false" ht="15" hidden="false" customHeight="true" outlineLevel="0" collapsed="false">
      <c r="A286" s="4" t="s">
        <v>93</v>
      </c>
      <c r="B286" s="5" t="n">
        <v>45717</v>
      </c>
      <c r="C286" s="4" t="s">
        <v>25</v>
      </c>
      <c r="D286" s="4" t="s">
        <v>19</v>
      </c>
      <c r="E286" s="4" t="n">
        <v>66104.19</v>
      </c>
      <c r="F286" s="4" t="n">
        <v>5745</v>
      </c>
      <c r="G286" s="4" t="n">
        <v>0.07</v>
      </c>
      <c r="H286" s="4" t="n">
        <v>17</v>
      </c>
      <c r="I286" s="4" t="n">
        <v>95.8</v>
      </c>
      <c r="J286" s="4" t="n">
        <v>3.15</v>
      </c>
      <c r="K286" s="4" t="n">
        <v>0</v>
      </c>
      <c r="L286" s="4" t="n">
        <v>4</v>
      </c>
      <c r="M286" s="4" t="n">
        <v>714083.68</v>
      </c>
      <c r="N286" s="4" t="n">
        <v>127231.74</v>
      </c>
    </row>
    <row r="287" customFormat="false" ht="15" hidden="false" customHeight="true" outlineLevel="0" collapsed="false">
      <c r="A287" s="4" t="s">
        <v>93</v>
      </c>
      <c r="B287" s="5" t="n">
        <v>45748</v>
      </c>
      <c r="C287" s="4" t="s">
        <v>25</v>
      </c>
      <c r="D287" s="4" t="s">
        <v>19</v>
      </c>
      <c r="E287" s="4" t="n">
        <v>18599.21</v>
      </c>
      <c r="F287" s="4" t="n">
        <v>3027</v>
      </c>
      <c r="G287" s="4" t="n">
        <v>0.122</v>
      </c>
      <c r="H287" s="4" t="n">
        <v>11</v>
      </c>
      <c r="I287" s="4" t="n">
        <v>80.9</v>
      </c>
      <c r="J287" s="4" t="n">
        <v>6.44</v>
      </c>
      <c r="K287" s="4" t="n">
        <v>0</v>
      </c>
      <c r="L287" s="4" t="n">
        <v>4.2</v>
      </c>
      <c r="M287" s="4" t="n">
        <v>497439.82</v>
      </c>
      <c r="N287" s="4" t="n">
        <v>93372.75</v>
      </c>
    </row>
    <row r="288" customFormat="false" ht="15" hidden="false" customHeight="true" outlineLevel="0" collapsed="false">
      <c r="A288" s="4" t="s">
        <v>94</v>
      </c>
      <c r="B288" s="5" t="n">
        <v>45658</v>
      </c>
      <c r="C288" s="4" t="s">
        <v>28</v>
      </c>
      <c r="D288" s="4" t="s">
        <v>17</v>
      </c>
      <c r="E288" s="4" t="n">
        <v>60183.06</v>
      </c>
      <c r="F288" s="4" t="n">
        <v>5562</v>
      </c>
      <c r="G288" s="4" t="n">
        <v>0.009</v>
      </c>
      <c r="H288" s="4" t="n">
        <v>13</v>
      </c>
      <c r="I288" s="4" t="n">
        <v>86.3</v>
      </c>
      <c r="J288" s="4" t="n">
        <v>0.2</v>
      </c>
      <c r="K288" s="4" t="n">
        <v>1</v>
      </c>
      <c r="L288" s="4" t="n">
        <v>4.5</v>
      </c>
      <c r="M288" s="4" t="n">
        <v>636775.66</v>
      </c>
      <c r="N288" s="4" t="n">
        <v>122636.86</v>
      </c>
    </row>
    <row r="289" customFormat="false" ht="15" hidden="false" customHeight="true" outlineLevel="0" collapsed="false">
      <c r="A289" s="4" t="s">
        <v>94</v>
      </c>
      <c r="B289" s="5" t="n">
        <v>45689</v>
      </c>
      <c r="C289" s="4" t="s">
        <v>28</v>
      </c>
      <c r="D289" s="4" t="s">
        <v>17</v>
      </c>
      <c r="E289" s="4" t="n">
        <v>74539.14</v>
      </c>
      <c r="F289" s="4" t="n">
        <v>4487</v>
      </c>
      <c r="G289" s="4" t="n">
        <v>0.14</v>
      </c>
      <c r="H289" s="4" t="n">
        <v>10</v>
      </c>
      <c r="I289" s="4" t="n">
        <v>90.4</v>
      </c>
      <c r="J289" s="4" t="n">
        <v>0.59</v>
      </c>
      <c r="K289" s="4" t="n">
        <v>0</v>
      </c>
      <c r="L289" s="4" t="n">
        <v>4.5</v>
      </c>
      <c r="M289" s="4" t="n">
        <v>633009.53</v>
      </c>
      <c r="N289" s="4" t="n">
        <v>123782.67</v>
      </c>
    </row>
    <row r="290" customFormat="false" ht="15" hidden="false" customHeight="true" outlineLevel="0" collapsed="false">
      <c r="A290" s="4" t="s">
        <v>94</v>
      </c>
      <c r="B290" s="5" t="n">
        <v>45717</v>
      </c>
      <c r="C290" s="4" t="s">
        <v>28</v>
      </c>
      <c r="D290" s="4" t="s">
        <v>17</v>
      </c>
      <c r="E290" s="4" t="n">
        <v>55371.97</v>
      </c>
      <c r="F290" s="4" t="n">
        <v>4162</v>
      </c>
      <c r="G290" s="4" t="n">
        <v>0.183</v>
      </c>
      <c r="H290" s="4" t="n">
        <v>11</v>
      </c>
      <c r="I290" s="4" t="n">
        <v>92</v>
      </c>
      <c r="J290" s="4" t="n">
        <v>0.2</v>
      </c>
      <c r="K290" s="4" t="n">
        <v>1</v>
      </c>
      <c r="L290" s="4" t="n">
        <v>4.2</v>
      </c>
      <c r="M290" s="4" t="n">
        <v>609949</v>
      </c>
      <c r="N290" s="4" t="n">
        <v>126789.25</v>
      </c>
    </row>
    <row r="291" customFormat="false" ht="15" hidden="false" customHeight="true" outlineLevel="0" collapsed="false">
      <c r="A291" s="4" t="s">
        <v>94</v>
      </c>
      <c r="B291" s="5" t="n">
        <v>45748</v>
      </c>
      <c r="C291" s="4" t="s">
        <v>28</v>
      </c>
      <c r="D291" s="4" t="s">
        <v>17</v>
      </c>
      <c r="E291" s="4" t="n">
        <v>40928.69</v>
      </c>
      <c r="F291" s="4" t="n">
        <v>4094</v>
      </c>
      <c r="G291" s="4" t="n">
        <v>0.174</v>
      </c>
      <c r="H291" s="4" t="n">
        <v>13</v>
      </c>
      <c r="I291" s="4" t="n">
        <v>82.4</v>
      </c>
      <c r="J291" s="4" t="n">
        <v>1.36</v>
      </c>
      <c r="K291" s="4" t="n">
        <v>0</v>
      </c>
      <c r="L291" s="4" t="n">
        <v>4.8</v>
      </c>
      <c r="M291" s="4" t="n">
        <v>548103.7</v>
      </c>
      <c r="N291" s="4" t="n">
        <v>99905.52</v>
      </c>
    </row>
    <row r="292" customFormat="false" ht="15" hidden="false" customHeight="true" outlineLevel="0" collapsed="false">
      <c r="A292" s="4" t="s">
        <v>95</v>
      </c>
      <c r="B292" s="5" t="n">
        <v>45658</v>
      </c>
      <c r="C292" s="4" t="s">
        <v>16</v>
      </c>
      <c r="D292" s="4" t="s">
        <v>17</v>
      </c>
      <c r="E292" s="4" t="n">
        <v>70012.41</v>
      </c>
      <c r="F292" s="4" t="n">
        <v>8484</v>
      </c>
      <c r="G292" s="4" t="n">
        <v>0.273</v>
      </c>
      <c r="H292" s="4" t="n">
        <v>23</v>
      </c>
      <c r="I292" s="4" t="n">
        <v>72.9</v>
      </c>
      <c r="J292" s="4" t="n">
        <v>3.34</v>
      </c>
      <c r="K292" s="4" t="n">
        <v>0</v>
      </c>
      <c r="L292" s="4" t="n">
        <v>3.7</v>
      </c>
      <c r="M292" s="4" t="n">
        <v>729424.42</v>
      </c>
      <c r="N292" s="4" t="n">
        <v>75592.28</v>
      </c>
    </row>
    <row r="293" customFormat="false" ht="15" hidden="false" customHeight="true" outlineLevel="0" collapsed="false">
      <c r="A293" s="4" t="s">
        <v>95</v>
      </c>
      <c r="B293" s="5" t="n">
        <v>45689</v>
      </c>
      <c r="C293" s="4" t="s">
        <v>16</v>
      </c>
      <c r="D293" s="4" t="s">
        <v>17</v>
      </c>
      <c r="E293" s="4" t="n">
        <v>68909.26</v>
      </c>
      <c r="F293" s="4" t="n">
        <v>7794</v>
      </c>
      <c r="G293" s="4" t="n">
        <v>0.284</v>
      </c>
      <c r="H293" s="4" t="n">
        <v>22</v>
      </c>
      <c r="I293" s="4" t="n">
        <v>89</v>
      </c>
      <c r="J293" s="4" t="n">
        <v>0.33</v>
      </c>
      <c r="K293" s="4" t="n">
        <v>0</v>
      </c>
      <c r="L293" s="4" t="n">
        <v>4</v>
      </c>
      <c r="M293" s="4" t="n">
        <v>696261.49</v>
      </c>
      <c r="N293" s="4" t="n">
        <v>72455.35</v>
      </c>
    </row>
    <row r="294" customFormat="false" ht="15" hidden="false" customHeight="true" outlineLevel="0" collapsed="false">
      <c r="A294" s="4" t="s">
        <v>95</v>
      </c>
      <c r="B294" s="5" t="n">
        <v>45717</v>
      </c>
      <c r="C294" s="4" t="s">
        <v>16</v>
      </c>
      <c r="D294" s="4" t="s">
        <v>17</v>
      </c>
      <c r="E294" s="4" t="n">
        <v>56737.3</v>
      </c>
      <c r="F294" s="4" t="n">
        <v>8300</v>
      </c>
      <c r="G294" s="4" t="n">
        <v>0.032</v>
      </c>
      <c r="H294" s="4" t="n">
        <v>21</v>
      </c>
      <c r="I294" s="4" t="n">
        <v>83.2</v>
      </c>
      <c r="J294" s="4" t="n">
        <v>3.44</v>
      </c>
      <c r="K294" s="4" t="n">
        <v>1</v>
      </c>
      <c r="L294" s="4" t="n">
        <v>4.3</v>
      </c>
      <c r="M294" s="4" t="n">
        <v>813316.71</v>
      </c>
      <c r="N294" s="4" t="n">
        <v>110077.42</v>
      </c>
    </row>
    <row r="295" customFormat="false" ht="15" hidden="false" customHeight="true" outlineLevel="0" collapsed="false">
      <c r="A295" s="4" t="s">
        <v>95</v>
      </c>
      <c r="B295" s="5" t="n">
        <v>45748</v>
      </c>
      <c r="C295" s="4" t="s">
        <v>16</v>
      </c>
      <c r="D295" s="4" t="s">
        <v>17</v>
      </c>
      <c r="E295" s="4" t="n">
        <v>54080.91</v>
      </c>
      <c r="F295" s="4" t="n">
        <v>7083</v>
      </c>
      <c r="G295" s="4" t="n">
        <v>0</v>
      </c>
      <c r="H295" s="4" t="n">
        <v>15</v>
      </c>
      <c r="I295" s="4" t="n">
        <v>97</v>
      </c>
      <c r="J295" s="4" t="n">
        <v>5.33</v>
      </c>
      <c r="K295" s="4" t="n">
        <v>0</v>
      </c>
      <c r="L295" s="4" t="n">
        <v>4.1</v>
      </c>
      <c r="M295" s="4" t="n">
        <v>702068.92</v>
      </c>
      <c r="N295" s="4" t="n">
        <v>111266.63</v>
      </c>
    </row>
    <row r="296" customFormat="false" ht="15" hidden="false" customHeight="true" outlineLevel="0" collapsed="false">
      <c r="A296" s="4" t="s">
        <v>96</v>
      </c>
      <c r="B296" s="5" t="n">
        <v>45658</v>
      </c>
      <c r="C296" s="4" t="s">
        <v>28</v>
      </c>
      <c r="D296" s="4" t="s">
        <v>19</v>
      </c>
      <c r="E296" s="4" t="n">
        <v>51996.32</v>
      </c>
      <c r="F296" s="4" t="n">
        <v>3834</v>
      </c>
      <c r="G296" s="4" t="n">
        <v>0.096</v>
      </c>
      <c r="H296" s="4" t="n">
        <v>8</v>
      </c>
      <c r="I296" s="4" t="n">
        <v>86.7</v>
      </c>
      <c r="J296" s="4" t="n">
        <v>6.04</v>
      </c>
      <c r="K296" s="4" t="n">
        <v>0</v>
      </c>
      <c r="L296" s="4" t="n">
        <v>4.5</v>
      </c>
      <c r="M296" s="4" t="n">
        <v>546223.7</v>
      </c>
      <c r="N296" s="4" t="n">
        <v>100769.17</v>
      </c>
    </row>
    <row r="297" customFormat="false" ht="15" hidden="false" customHeight="true" outlineLevel="0" collapsed="false">
      <c r="A297" s="4" t="s">
        <v>96</v>
      </c>
      <c r="B297" s="5" t="n">
        <v>45689</v>
      </c>
      <c r="C297" s="4" t="s">
        <v>28</v>
      </c>
      <c r="D297" s="4" t="s">
        <v>19</v>
      </c>
      <c r="E297" s="4" t="n">
        <v>40102.88</v>
      </c>
      <c r="F297" s="4" t="n">
        <v>2358</v>
      </c>
      <c r="G297" s="4" t="n">
        <v>0.119</v>
      </c>
      <c r="H297" s="4" t="n">
        <v>9</v>
      </c>
      <c r="I297" s="4" t="n">
        <v>88.7</v>
      </c>
      <c r="J297" s="4" t="n">
        <v>1.6</v>
      </c>
      <c r="K297" s="4" t="n">
        <v>0</v>
      </c>
      <c r="L297" s="4" t="n">
        <v>4.2</v>
      </c>
      <c r="M297" s="4" t="n">
        <v>533121.26</v>
      </c>
      <c r="N297" s="4" t="n">
        <v>55063.39</v>
      </c>
    </row>
    <row r="298" customFormat="false" ht="15" hidden="false" customHeight="true" outlineLevel="0" collapsed="false">
      <c r="A298" s="4" t="s">
        <v>96</v>
      </c>
      <c r="B298" s="5" t="n">
        <v>45717</v>
      </c>
      <c r="C298" s="4" t="s">
        <v>28</v>
      </c>
      <c r="D298" s="4" t="s">
        <v>19</v>
      </c>
      <c r="E298" s="4" t="n">
        <v>59825.51</v>
      </c>
      <c r="F298" s="4" t="n">
        <v>1231</v>
      </c>
      <c r="G298" s="4" t="n">
        <v>0.214</v>
      </c>
      <c r="H298" s="4" t="n">
        <v>10</v>
      </c>
      <c r="I298" s="4" t="n">
        <v>84.8</v>
      </c>
      <c r="J298" s="4" t="n">
        <v>8.96</v>
      </c>
      <c r="K298" s="4" t="n">
        <v>0</v>
      </c>
      <c r="L298" s="4" t="n">
        <v>4.7</v>
      </c>
      <c r="M298" s="4" t="n">
        <v>498970.32</v>
      </c>
      <c r="N298" s="4" t="n">
        <v>69656.7</v>
      </c>
    </row>
    <row r="299" customFormat="false" ht="15" hidden="false" customHeight="true" outlineLevel="0" collapsed="false">
      <c r="A299" s="4" t="s">
        <v>96</v>
      </c>
      <c r="B299" s="5" t="n">
        <v>45748</v>
      </c>
      <c r="C299" s="4" t="s">
        <v>28</v>
      </c>
      <c r="D299" s="4" t="s">
        <v>19</v>
      </c>
      <c r="E299" s="4" t="n">
        <v>27398.28</v>
      </c>
      <c r="F299" s="4" t="n">
        <v>1723</v>
      </c>
      <c r="G299" s="4" t="n">
        <v>0.171</v>
      </c>
      <c r="H299" s="4" t="n">
        <v>9</v>
      </c>
      <c r="I299" s="4" t="n">
        <v>81</v>
      </c>
      <c r="J299" s="4" t="n">
        <v>0.74</v>
      </c>
      <c r="K299" s="4" t="n">
        <v>0</v>
      </c>
      <c r="L299" s="4" t="n">
        <v>4.6</v>
      </c>
      <c r="M299" s="4" t="n">
        <v>487738.26</v>
      </c>
      <c r="N299" s="4" t="n">
        <v>96435.6</v>
      </c>
    </row>
    <row r="300" customFormat="false" ht="15" hidden="false" customHeight="true" outlineLevel="0" collapsed="false">
      <c r="A300" s="4" t="s">
        <v>97</v>
      </c>
      <c r="B300" s="5" t="n">
        <v>45658</v>
      </c>
      <c r="C300" s="4" t="s">
        <v>28</v>
      </c>
      <c r="D300" s="4" t="s">
        <v>19</v>
      </c>
      <c r="E300" s="4" t="n">
        <v>55599.56</v>
      </c>
      <c r="F300" s="4" t="n">
        <v>5896</v>
      </c>
      <c r="G300" s="4" t="n">
        <v>0.036</v>
      </c>
      <c r="H300" s="4" t="n">
        <v>12</v>
      </c>
      <c r="I300" s="4" t="n">
        <v>93.1</v>
      </c>
      <c r="J300" s="4" t="n">
        <v>6.13</v>
      </c>
      <c r="K300" s="4" t="n">
        <v>0</v>
      </c>
      <c r="L300" s="4" t="n">
        <v>3.3</v>
      </c>
      <c r="M300" s="4" t="n">
        <v>668459.37</v>
      </c>
      <c r="N300" s="4" t="n">
        <v>126435.42</v>
      </c>
    </row>
    <row r="301" customFormat="false" ht="15" hidden="false" customHeight="true" outlineLevel="0" collapsed="false">
      <c r="A301" s="4" t="s">
        <v>97</v>
      </c>
      <c r="B301" s="5" t="n">
        <v>45689</v>
      </c>
      <c r="C301" s="4" t="s">
        <v>28</v>
      </c>
      <c r="D301" s="4" t="s">
        <v>19</v>
      </c>
      <c r="E301" s="4" t="n">
        <v>55477.61</v>
      </c>
      <c r="F301" s="4" t="n">
        <v>5903</v>
      </c>
      <c r="G301" s="4" t="n">
        <v>0.102</v>
      </c>
      <c r="H301" s="4" t="n">
        <v>14</v>
      </c>
      <c r="I301" s="4" t="n">
        <v>96.2</v>
      </c>
      <c r="J301" s="4" t="n">
        <v>1.41</v>
      </c>
      <c r="K301" s="4" t="n">
        <v>0</v>
      </c>
      <c r="L301" s="4" t="n">
        <v>3.3</v>
      </c>
      <c r="M301" s="4" t="n">
        <v>763162.45</v>
      </c>
      <c r="N301" s="4" t="n">
        <v>162524.05</v>
      </c>
    </row>
    <row r="302" customFormat="false" ht="15" hidden="false" customHeight="true" outlineLevel="0" collapsed="false">
      <c r="A302" s="4" t="s">
        <v>97</v>
      </c>
      <c r="B302" s="5" t="n">
        <v>45717</v>
      </c>
      <c r="C302" s="4" t="s">
        <v>28</v>
      </c>
      <c r="D302" s="4" t="s">
        <v>19</v>
      </c>
      <c r="E302" s="4" t="n">
        <v>46174.7</v>
      </c>
      <c r="F302" s="4" t="n">
        <v>4898</v>
      </c>
      <c r="G302" s="4" t="n">
        <v>0.114</v>
      </c>
      <c r="H302" s="4" t="n">
        <v>11</v>
      </c>
      <c r="I302" s="4" t="n">
        <v>91.7</v>
      </c>
      <c r="J302" s="4" t="n">
        <v>3.75</v>
      </c>
      <c r="K302" s="4" t="n">
        <v>0</v>
      </c>
      <c r="L302" s="4" t="n">
        <v>3.1</v>
      </c>
      <c r="M302" s="4" t="n">
        <v>599017.33</v>
      </c>
      <c r="N302" s="4" t="n">
        <v>134009.92</v>
      </c>
    </row>
    <row r="303" customFormat="false" ht="15" hidden="false" customHeight="true" outlineLevel="0" collapsed="false">
      <c r="A303" s="4" t="s">
        <v>97</v>
      </c>
      <c r="B303" s="5" t="n">
        <v>45748</v>
      </c>
      <c r="C303" s="4" t="s">
        <v>28</v>
      </c>
      <c r="D303" s="4" t="s">
        <v>19</v>
      </c>
      <c r="E303" s="4" t="n">
        <v>24362.98</v>
      </c>
      <c r="F303" s="4" t="n">
        <v>1462</v>
      </c>
      <c r="G303" s="4" t="n">
        <v>0.117</v>
      </c>
      <c r="H303" s="4" t="n">
        <v>6</v>
      </c>
      <c r="I303" s="4" t="n">
        <v>89.3</v>
      </c>
      <c r="J303" s="4" t="n">
        <v>15.06</v>
      </c>
      <c r="K303" s="4" t="n">
        <v>0</v>
      </c>
      <c r="L303" s="4" t="n">
        <v>3.2</v>
      </c>
      <c r="M303" s="4" t="n">
        <v>401582.58</v>
      </c>
      <c r="N303" s="4" t="n">
        <v>68454.93</v>
      </c>
    </row>
    <row r="304" customFormat="false" ht="15" hidden="false" customHeight="true" outlineLevel="0" collapsed="false">
      <c r="A304" s="4" t="s">
        <v>98</v>
      </c>
      <c r="B304" s="5" t="n">
        <v>45658</v>
      </c>
      <c r="C304" s="4" t="s">
        <v>21</v>
      </c>
      <c r="D304" s="4" t="s">
        <v>29</v>
      </c>
      <c r="E304" s="4" t="n">
        <v>40647.67</v>
      </c>
      <c r="F304" s="4" t="n">
        <v>8252</v>
      </c>
      <c r="G304" s="4" t="n">
        <v>0.141</v>
      </c>
      <c r="H304" s="4" t="n">
        <v>22</v>
      </c>
      <c r="I304" s="4" t="n">
        <v>88.2</v>
      </c>
      <c r="J304" s="4" t="n">
        <v>5.07</v>
      </c>
      <c r="K304" s="4" t="n">
        <v>1</v>
      </c>
      <c r="L304" s="4" t="n">
        <v>4.1</v>
      </c>
      <c r="M304" s="4" t="n">
        <v>703812.99</v>
      </c>
      <c r="N304" s="4" t="n">
        <v>133577.98</v>
      </c>
    </row>
    <row r="305" customFormat="false" ht="15" hidden="false" customHeight="true" outlineLevel="0" collapsed="false">
      <c r="A305" s="4" t="s">
        <v>98</v>
      </c>
      <c r="B305" s="5" t="n">
        <v>45689</v>
      </c>
      <c r="C305" s="4" t="s">
        <v>21</v>
      </c>
      <c r="D305" s="4" t="s">
        <v>29</v>
      </c>
      <c r="E305" s="4" t="n">
        <v>63986.98</v>
      </c>
      <c r="F305" s="4" t="n">
        <v>7989</v>
      </c>
      <c r="G305" s="4" t="n">
        <v>0.074</v>
      </c>
      <c r="H305" s="4" t="n">
        <v>20</v>
      </c>
      <c r="I305" s="4" t="n">
        <v>83.3</v>
      </c>
      <c r="J305" s="4" t="n">
        <v>3.6</v>
      </c>
      <c r="K305" s="4" t="n">
        <v>0</v>
      </c>
      <c r="L305" s="4" t="n">
        <v>3.7</v>
      </c>
      <c r="M305" s="4" t="n">
        <v>724346.73</v>
      </c>
      <c r="N305" s="4" t="n">
        <v>155013.91</v>
      </c>
    </row>
    <row r="306" customFormat="false" ht="15" hidden="false" customHeight="true" outlineLevel="0" collapsed="false">
      <c r="A306" s="4" t="s">
        <v>98</v>
      </c>
      <c r="B306" s="5" t="n">
        <v>45717</v>
      </c>
      <c r="C306" s="4" t="s">
        <v>21</v>
      </c>
      <c r="D306" s="4" t="s">
        <v>29</v>
      </c>
      <c r="E306" s="4" t="n">
        <v>52843.75</v>
      </c>
      <c r="F306" s="4" t="n">
        <v>8268</v>
      </c>
      <c r="G306" s="4" t="n">
        <v>0.138</v>
      </c>
      <c r="H306" s="4" t="n">
        <v>19</v>
      </c>
      <c r="I306" s="4" t="n">
        <v>87.3</v>
      </c>
      <c r="J306" s="4" t="n">
        <v>4.39</v>
      </c>
      <c r="K306" s="4" t="n">
        <v>1</v>
      </c>
      <c r="L306" s="4" t="n">
        <v>4.7</v>
      </c>
      <c r="M306" s="4" t="n">
        <v>730890.01</v>
      </c>
      <c r="N306" s="4" t="n">
        <v>105502.56</v>
      </c>
    </row>
    <row r="307" customFormat="false" ht="15" hidden="false" customHeight="true" outlineLevel="0" collapsed="false">
      <c r="A307" s="4" t="s">
        <v>98</v>
      </c>
      <c r="B307" s="5" t="n">
        <v>45748</v>
      </c>
      <c r="C307" s="4" t="s">
        <v>21</v>
      </c>
      <c r="D307" s="4" t="s">
        <v>29</v>
      </c>
      <c r="E307" s="4" t="n">
        <v>31997.25</v>
      </c>
      <c r="F307" s="4" t="n">
        <v>8183</v>
      </c>
      <c r="G307" s="4" t="n">
        <v>0.198</v>
      </c>
      <c r="H307" s="4" t="n">
        <v>18</v>
      </c>
      <c r="I307" s="4" t="n">
        <v>93</v>
      </c>
      <c r="J307" s="4" t="n">
        <v>2.79</v>
      </c>
      <c r="K307" s="4" t="n">
        <v>0</v>
      </c>
      <c r="L307" s="4" t="n">
        <v>4.2</v>
      </c>
      <c r="M307" s="4" t="n">
        <v>780580.95</v>
      </c>
      <c r="N307" s="4" t="n">
        <v>138144.46</v>
      </c>
    </row>
    <row r="308" customFormat="false" ht="15" hidden="false" customHeight="true" outlineLevel="0" collapsed="false">
      <c r="A308" s="4" t="s">
        <v>99</v>
      </c>
      <c r="B308" s="5" t="n">
        <v>45658</v>
      </c>
      <c r="C308" s="4" t="s">
        <v>25</v>
      </c>
      <c r="D308" s="4" t="s">
        <v>17</v>
      </c>
      <c r="E308" s="4" t="n">
        <v>54948.02</v>
      </c>
      <c r="F308" s="4" t="n">
        <v>6534</v>
      </c>
      <c r="G308" s="4" t="n">
        <v>0.183</v>
      </c>
      <c r="H308" s="4" t="n">
        <v>14</v>
      </c>
      <c r="I308" s="4" t="n">
        <v>94.5</v>
      </c>
      <c r="J308" s="4" t="n">
        <v>1.56</v>
      </c>
      <c r="K308" s="4" t="n">
        <v>0</v>
      </c>
      <c r="L308" s="4" t="n">
        <v>4</v>
      </c>
      <c r="M308" s="4" t="n">
        <v>727957.48</v>
      </c>
      <c r="N308" s="4" t="n">
        <v>74805.23</v>
      </c>
    </row>
    <row r="309" customFormat="false" ht="15" hidden="false" customHeight="true" outlineLevel="0" collapsed="false">
      <c r="A309" s="4" t="s">
        <v>99</v>
      </c>
      <c r="B309" s="5" t="n">
        <v>45689</v>
      </c>
      <c r="C309" s="4" t="s">
        <v>25</v>
      </c>
      <c r="D309" s="4" t="s">
        <v>17</v>
      </c>
      <c r="E309" s="4" t="n">
        <v>46146.24</v>
      </c>
      <c r="F309" s="4" t="n">
        <v>5804</v>
      </c>
      <c r="G309" s="4" t="n">
        <v>0.047</v>
      </c>
      <c r="H309" s="4" t="n">
        <v>16</v>
      </c>
      <c r="I309" s="4" t="n">
        <v>86.9</v>
      </c>
      <c r="J309" s="4" t="n">
        <v>15.82</v>
      </c>
      <c r="K309" s="4" t="n">
        <v>0</v>
      </c>
      <c r="L309" s="4" t="n">
        <v>3.8</v>
      </c>
      <c r="M309" s="4" t="n">
        <v>538376</v>
      </c>
      <c r="N309" s="4" t="n">
        <v>87605.62</v>
      </c>
    </row>
    <row r="310" customFormat="false" ht="15" hidden="false" customHeight="true" outlineLevel="0" collapsed="false">
      <c r="A310" s="4" t="s">
        <v>99</v>
      </c>
      <c r="B310" s="5" t="n">
        <v>45717</v>
      </c>
      <c r="C310" s="4" t="s">
        <v>25</v>
      </c>
      <c r="D310" s="4" t="s">
        <v>17</v>
      </c>
      <c r="E310" s="4" t="n">
        <v>22387.26</v>
      </c>
      <c r="F310" s="4" t="n">
        <v>6301</v>
      </c>
      <c r="G310" s="4" t="n">
        <v>0.146</v>
      </c>
      <c r="H310" s="4" t="n">
        <v>14</v>
      </c>
      <c r="I310" s="4" t="n">
        <v>85.9</v>
      </c>
      <c r="J310" s="4" t="n">
        <v>1.17</v>
      </c>
      <c r="K310" s="4" t="n">
        <v>1</v>
      </c>
      <c r="L310" s="4" t="n">
        <v>3.7</v>
      </c>
      <c r="M310" s="4" t="n">
        <v>665342.49</v>
      </c>
      <c r="N310" s="4" t="n">
        <v>93441.81</v>
      </c>
    </row>
    <row r="311" customFormat="false" ht="15" hidden="false" customHeight="true" outlineLevel="0" collapsed="false">
      <c r="A311" s="4" t="s">
        <v>99</v>
      </c>
      <c r="B311" s="5" t="n">
        <v>45748</v>
      </c>
      <c r="C311" s="4" t="s">
        <v>25</v>
      </c>
      <c r="D311" s="4" t="s">
        <v>17</v>
      </c>
      <c r="E311" s="4" t="n">
        <v>60684.05</v>
      </c>
      <c r="F311" s="4" t="n">
        <v>6399</v>
      </c>
      <c r="G311" s="4" t="n">
        <v>0.075</v>
      </c>
      <c r="H311" s="4" t="n">
        <v>16</v>
      </c>
      <c r="I311" s="4" t="n">
        <v>99</v>
      </c>
      <c r="J311" s="4" t="n">
        <v>3.82</v>
      </c>
      <c r="K311" s="4" t="n">
        <v>0</v>
      </c>
      <c r="L311" s="4" t="n">
        <v>3.5</v>
      </c>
      <c r="M311" s="4" t="n">
        <v>651164.18</v>
      </c>
      <c r="N311" s="4" t="n">
        <v>109466.5</v>
      </c>
    </row>
    <row r="312" customFormat="false" ht="15" hidden="false" customHeight="true" outlineLevel="0" collapsed="false">
      <c r="A312" s="4" t="s">
        <v>100</v>
      </c>
      <c r="B312" s="5" t="n">
        <v>45658</v>
      </c>
      <c r="C312" s="4" t="s">
        <v>25</v>
      </c>
      <c r="D312" s="4" t="s">
        <v>19</v>
      </c>
      <c r="E312" s="4" t="n">
        <v>48465.6</v>
      </c>
      <c r="F312" s="4" t="n">
        <v>5759</v>
      </c>
      <c r="G312" s="4" t="n">
        <v>0.154</v>
      </c>
      <c r="H312" s="4" t="n">
        <v>13</v>
      </c>
      <c r="I312" s="4" t="n">
        <v>87.5</v>
      </c>
      <c r="J312" s="4" t="n">
        <v>4.14</v>
      </c>
      <c r="K312" s="4" t="n">
        <v>0</v>
      </c>
      <c r="L312" s="4" t="n">
        <v>4</v>
      </c>
      <c r="M312" s="4" t="n">
        <v>628538.3</v>
      </c>
      <c r="N312" s="4" t="n">
        <v>112509.15</v>
      </c>
    </row>
    <row r="313" customFormat="false" ht="15" hidden="false" customHeight="true" outlineLevel="0" collapsed="false">
      <c r="A313" s="4" t="s">
        <v>100</v>
      </c>
      <c r="B313" s="5" t="n">
        <v>45689</v>
      </c>
      <c r="C313" s="4" t="s">
        <v>25</v>
      </c>
      <c r="D313" s="4" t="s">
        <v>19</v>
      </c>
      <c r="E313" s="4" t="n">
        <v>23702.38</v>
      </c>
      <c r="F313" s="4" t="n">
        <v>5285</v>
      </c>
      <c r="G313" s="4" t="n">
        <v>0.167</v>
      </c>
      <c r="H313" s="4" t="n">
        <v>14</v>
      </c>
      <c r="I313" s="4" t="n">
        <v>79.7</v>
      </c>
      <c r="J313" s="4" t="n">
        <v>1.1</v>
      </c>
      <c r="K313" s="4" t="n">
        <v>0</v>
      </c>
      <c r="L313" s="4" t="n">
        <v>4.3</v>
      </c>
      <c r="M313" s="4" t="n">
        <v>536524.84</v>
      </c>
      <c r="N313" s="4" t="n">
        <v>92752.94</v>
      </c>
    </row>
    <row r="314" customFormat="false" ht="15" hidden="false" customHeight="true" outlineLevel="0" collapsed="false">
      <c r="A314" s="4" t="s">
        <v>100</v>
      </c>
      <c r="B314" s="5" t="n">
        <v>45717</v>
      </c>
      <c r="C314" s="4" t="s">
        <v>25</v>
      </c>
      <c r="D314" s="4" t="s">
        <v>19</v>
      </c>
      <c r="E314" s="4" t="n">
        <v>54322.94</v>
      </c>
      <c r="F314" s="4" t="n">
        <v>5434</v>
      </c>
      <c r="G314" s="4" t="n">
        <v>0.2</v>
      </c>
      <c r="H314" s="4" t="n">
        <v>13</v>
      </c>
      <c r="I314" s="4" t="n">
        <v>85.7</v>
      </c>
      <c r="J314" s="4" t="n">
        <v>10.6</v>
      </c>
      <c r="K314" s="4" t="n">
        <v>0</v>
      </c>
      <c r="L314" s="4" t="n">
        <v>4.2</v>
      </c>
      <c r="M314" s="4" t="n">
        <v>621677.3</v>
      </c>
      <c r="N314" s="4" t="n">
        <v>105192.52</v>
      </c>
    </row>
    <row r="315" customFormat="false" ht="15" hidden="false" customHeight="true" outlineLevel="0" collapsed="false">
      <c r="A315" s="4" t="s">
        <v>100</v>
      </c>
      <c r="B315" s="5" t="n">
        <v>45748</v>
      </c>
      <c r="C315" s="4" t="s">
        <v>25</v>
      </c>
      <c r="D315" s="4" t="s">
        <v>19</v>
      </c>
      <c r="E315" s="4" t="n">
        <v>86026.58</v>
      </c>
      <c r="F315" s="4" t="n">
        <v>7479</v>
      </c>
      <c r="G315" s="4" t="n">
        <v>0.142</v>
      </c>
      <c r="H315" s="4" t="n">
        <v>20</v>
      </c>
      <c r="I315" s="4" t="n">
        <v>89</v>
      </c>
      <c r="J315" s="4" t="n">
        <v>0.9</v>
      </c>
      <c r="K315" s="4" t="n">
        <v>0</v>
      </c>
      <c r="L315" s="4"/>
      <c r="M315" s="4" t="n">
        <v>771129.07</v>
      </c>
      <c r="N315" s="4" t="n">
        <v>116851.13</v>
      </c>
    </row>
    <row r="316" customFormat="false" ht="15" hidden="false" customHeight="true" outlineLevel="0" collapsed="false">
      <c r="A316" s="4" t="s">
        <v>101</v>
      </c>
      <c r="B316" s="5" t="n">
        <v>45658</v>
      </c>
      <c r="C316" s="4" t="s">
        <v>21</v>
      </c>
      <c r="D316" s="4" t="s">
        <v>17</v>
      </c>
      <c r="E316" s="4" t="n">
        <v>78967.52</v>
      </c>
      <c r="F316" s="4" t="n">
        <v>6164</v>
      </c>
      <c r="G316" s="4" t="n">
        <v>0.021</v>
      </c>
      <c r="H316" s="4" t="n">
        <v>16</v>
      </c>
      <c r="I316" s="4" t="n">
        <v>85.5</v>
      </c>
      <c r="J316" s="4" t="n">
        <v>0.2</v>
      </c>
      <c r="K316" s="4" t="n">
        <v>0</v>
      </c>
      <c r="L316" s="4" t="n">
        <v>3.4</v>
      </c>
      <c r="M316" s="4" t="n">
        <v>702052.47</v>
      </c>
      <c r="N316" s="4" t="n">
        <v>121732.51</v>
      </c>
    </row>
    <row r="317" customFormat="false" ht="15" hidden="false" customHeight="true" outlineLevel="0" collapsed="false">
      <c r="A317" s="4" t="s">
        <v>101</v>
      </c>
      <c r="B317" s="5" t="n">
        <v>45689</v>
      </c>
      <c r="C317" s="4" t="s">
        <v>21</v>
      </c>
      <c r="D317" s="4" t="s">
        <v>17</v>
      </c>
      <c r="E317" s="4" t="n">
        <v>46767.99</v>
      </c>
      <c r="F317" s="4" t="n">
        <v>7973</v>
      </c>
      <c r="G317" s="4" t="n">
        <v>0.183</v>
      </c>
      <c r="H317" s="4" t="n">
        <v>18</v>
      </c>
      <c r="I317" s="4" t="n">
        <v>94.8</v>
      </c>
      <c r="J317" s="4" t="n">
        <v>4.67</v>
      </c>
      <c r="K317" s="4" t="n">
        <v>0</v>
      </c>
      <c r="L317" s="4"/>
      <c r="M317" s="4" t="n">
        <v>688368.46</v>
      </c>
      <c r="N317" s="4" t="n">
        <v>93588.42</v>
      </c>
    </row>
    <row r="318" customFormat="false" ht="15" hidden="false" customHeight="true" outlineLevel="0" collapsed="false">
      <c r="A318" s="4" t="s">
        <v>101</v>
      </c>
      <c r="B318" s="5" t="n">
        <v>45717</v>
      </c>
      <c r="C318" s="4" t="s">
        <v>21</v>
      </c>
      <c r="D318" s="4" t="s">
        <v>17</v>
      </c>
      <c r="E318" s="4" t="n">
        <v>62507.16</v>
      </c>
      <c r="F318" s="4" t="n">
        <v>6000</v>
      </c>
      <c r="G318" s="4" t="n">
        <v>0.091</v>
      </c>
      <c r="H318" s="4" t="n">
        <v>14</v>
      </c>
      <c r="I318" s="4" t="n">
        <v>98.2</v>
      </c>
      <c r="J318" s="4" t="n">
        <v>4.38</v>
      </c>
      <c r="K318" s="4" t="n">
        <v>1</v>
      </c>
      <c r="L318" s="4" t="n">
        <v>3.9</v>
      </c>
      <c r="M318" s="4" t="n">
        <v>712375.77</v>
      </c>
      <c r="N318" s="4" t="n">
        <v>104171.53</v>
      </c>
    </row>
    <row r="319" customFormat="false" ht="15" hidden="false" customHeight="true" outlineLevel="0" collapsed="false">
      <c r="A319" s="4" t="s">
        <v>101</v>
      </c>
      <c r="B319" s="5" t="n">
        <v>45748</v>
      </c>
      <c r="C319" s="4" t="s">
        <v>21</v>
      </c>
      <c r="D319" s="4" t="s">
        <v>17</v>
      </c>
      <c r="E319" s="4" t="n">
        <v>66456.28</v>
      </c>
      <c r="F319" s="4" t="n">
        <v>9967</v>
      </c>
      <c r="G319" s="4" t="n">
        <v>0.108</v>
      </c>
      <c r="H319" s="4" t="n">
        <v>20</v>
      </c>
      <c r="I319" s="4" t="n">
        <v>94.7</v>
      </c>
      <c r="J319" s="4" t="n">
        <v>4.48</v>
      </c>
      <c r="K319" s="4" t="n">
        <v>0</v>
      </c>
      <c r="L319" s="4" t="n">
        <v>4.2</v>
      </c>
      <c r="M319" s="4" t="n">
        <v>844710.67</v>
      </c>
      <c r="N319" s="4" t="n">
        <v>137140.18</v>
      </c>
    </row>
    <row r="320" customFormat="false" ht="15" hidden="false" customHeight="true" outlineLevel="0" collapsed="false">
      <c r="A320" s="4" t="s">
        <v>102</v>
      </c>
      <c r="B320" s="5" t="n">
        <v>45658</v>
      </c>
      <c r="C320" s="4" t="s">
        <v>16</v>
      </c>
      <c r="D320" s="4" t="s">
        <v>17</v>
      </c>
      <c r="E320" s="4" t="n">
        <v>76614.32</v>
      </c>
      <c r="F320" s="4" t="n">
        <v>5639</v>
      </c>
      <c r="G320" s="4" t="n">
        <v>0.174</v>
      </c>
      <c r="H320" s="4" t="n">
        <v>15</v>
      </c>
      <c r="I320" s="4" t="n">
        <v>92.9</v>
      </c>
      <c r="J320" s="4" t="n">
        <v>1.02</v>
      </c>
      <c r="K320" s="4" t="n">
        <v>1</v>
      </c>
      <c r="L320" s="4" t="n">
        <v>4</v>
      </c>
      <c r="M320" s="4" t="n">
        <v>620264.2</v>
      </c>
      <c r="N320" s="4" t="n">
        <v>91365.64</v>
      </c>
    </row>
    <row r="321" customFormat="false" ht="15" hidden="false" customHeight="true" outlineLevel="0" collapsed="false">
      <c r="A321" s="4" t="s">
        <v>102</v>
      </c>
      <c r="B321" s="5" t="n">
        <v>45689</v>
      </c>
      <c r="C321" s="4" t="s">
        <v>16</v>
      </c>
      <c r="D321" s="4" t="s">
        <v>17</v>
      </c>
      <c r="E321" s="4" t="n">
        <v>24088.06</v>
      </c>
      <c r="F321" s="4" t="n">
        <v>3466</v>
      </c>
      <c r="G321" s="4" t="n">
        <v>0</v>
      </c>
      <c r="H321" s="4" t="n">
        <v>11</v>
      </c>
      <c r="I321" s="4" t="n">
        <v>88</v>
      </c>
      <c r="J321" s="4" t="n">
        <v>0.2</v>
      </c>
      <c r="K321" s="4" t="n">
        <v>0</v>
      </c>
      <c r="L321" s="4" t="n">
        <v>3.8</v>
      </c>
      <c r="M321" s="4" t="n">
        <v>536845.42</v>
      </c>
      <c r="N321" s="4" t="n">
        <v>107473.75</v>
      </c>
    </row>
    <row r="322" customFormat="false" ht="15" hidden="false" customHeight="true" outlineLevel="0" collapsed="false">
      <c r="A322" s="4" t="s">
        <v>102</v>
      </c>
      <c r="B322" s="5" t="n">
        <v>45717</v>
      </c>
      <c r="C322" s="4" t="s">
        <v>16</v>
      </c>
      <c r="D322" s="4" t="s">
        <v>17</v>
      </c>
      <c r="E322" s="4" t="n">
        <v>81902.58</v>
      </c>
      <c r="F322" s="4" t="n">
        <v>7775</v>
      </c>
      <c r="G322" s="4" t="n">
        <v>0.215</v>
      </c>
      <c r="H322" s="4" t="n">
        <v>20</v>
      </c>
      <c r="I322" s="4" t="n">
        <v>85.2</v>
      </c>
      <c r="J322" s="4" t="n">
        <v>4.89</v>
      </c>
      <c r="K322" s="4" t="n">
        <v>1</v>
      </c>
      <c r="L322" s="4" t="n">
        <v>4.2</v>
      </c>
      <c r="M322" s="4" t="n">
        <v>726776.22</v>
      </c>
      <c r="N322" s="4" t="n">
        <v>90804.49</v>
      </c>
    </row>
    <row r="323" customFormat="false" ht="15" hidden="false" customHeight="true" outlineLevel="0" collapsed="false">
      <c r="A323" s="4" t="s">
        <v>102</v>
      </c>
      <c r="B323" s="5" t="n">
        <v>45748</v>
      </c>
      <c r="C323" s="4" t="s">
        <v>16</v>
      </c>
      <c r="D323" s="4" t="s">
        <v>17</v>
      </c>
      <c r="E323" s="4" t="n">
        <v>40553.11</v>
      </c>
      <c r="F323" s="4" t="n">
        <v>5317</v>
      </c>
      <c r="G323" s="4" t="n">
        <v>0.165</v>
      </c>
      <c r="H323" s="4" t="n">
        <v>17</v>
      </c>
      <c r="I323" s="4" t="n">
        <v>84.3</v>
      </c>
      <c r="J323" s="4" t="n">
        <v>11.82</v>
      </c>
      <c r="K323" s="4" t="n">
        <v>0</v>
      </c>
      <c r="L323" s="4" t="n">
        <v>4.1</v>
      </c>
      <c r="M323" s="4" t="n">
        <v>559660.84</v>
      </c>
      <c r="N323" s="4" t="n">
        <v>71443.61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26"/>
    <col collapsed="false" customWidth="true" hidden="false" outlineLevel="0" max="10" min="10" style="1" width="22"/>
    <col collapsed="false" customWidth="true" hidden="false" outlineLevel="0" max="11" min="11" style="1" width="12"/>
    <col collapsed="false" customWidth="true" hidden="false" outlineLevel="0" max="12" min="12" style="1" width="16"/>
    <col collapsed="false" customWidth="true" hidden="false" outlineLevel="0" max="14" min="13" style="1" width="15"/>
  </cols>
  <sheetData>
    <row r="1" customFormat="false" ht="15.75" hidden="false" customHeight="true" outlineLevel="0" collapsed="false">
      <c r="A1" s="2" t="s">
        <v>103</v>
      </c>
    </row>
    <row r="2" customFormat="false" ht="27.75" hidden="false" customHeight="true" outlineLevel="0" collapsed="false">
      <c r="A2" s="6" t="s">
        <v>104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customFormat="false" ht="15" hidden="false" customHeight="true" outlineLevel="0" collapsed="false">
      <c r="P3" s="7" t="s">
        <v>105</v>
      </c>
      <c r="Q3" s="4" t="n">
        <v>320</v>
      </c>
    </row>
    <row r="4" customFormat="false" ht="15" hidden="false" customHeight="true" outlineLevel="0" collapsed="false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P4" s="7" t="s">
        <v>106</v>
      </c>
      <c r="Q4" s="4" t="n">
        <v>306</v>
      </c>
    </row>
    <row r="5" customFormat="false" ht="15" hidden="false" customHeight="true" outlineLevel="0" collapsed="false">
      <c r="A5" s="4" t="s">
        <v>15</v>
      </c>
      <c r="B5" s="5" t="n">
        <v>45658</v>
      </c>
      <c r="C5" s="4" t="s">
        <v>16</v>
      </c>
      <c r="D5" s="4" t="s">
        <v>17</v>
      </c>
      <c r="E5" s="4" t="n">
        <v>70389.11</v>
      </c>
      <c r="F5" s="4" t="n">
        <v>8302</v>
      </c>
      <c r="G5" s="4" t="n">
        <v>0.042</v>
      </c>
      <c r="H5" s="4" t="n">
        <v>17</v>
      </c>
      <c r="I5" s="4" t="n">
        <v>75</v>
      </c>
      <c r="J5" s="4" t="n">
        <v>5.28</v>
      </c>
      <c r="K5" s="4" t="n">
        <v>1</v>
      </c>
      <c r="L5" s="4" t="n">
        <v>3.1</v>
      </c>
      <c r="M5" s="4" t="n">
        <v>658832.62</v>
      </c>
      <c r="N5" s="4" t="n">
        <v>84349.93</v>
      </c>
      <c r="P5" s="7" t="s">
        <v>107</v>
      </c>
      <c r="Q5" s="4" t="n">
        <v>14</v>
      </c>
    </row>
    <row r="6" customFormat="false" ht="15" hidden="false" customHeight="true" outlineLevel="0" collapsed="false">
      <c r="A6" s="4" t="s">
        <v>15</v>
      </c>
      <c r="B6" s="5" t="n">
        <v>45689</v>
      </c>
      <c r="C6" s="4" t="s">
        <v>16</v>
      </c>
      <c r="D6" s="4" t="s">
        <v>17</v>
      </c>
      <c r="E6" s="4" t="n">
        <v>43827.89</v>
      </c>
      <c r="F6" s="4" t="n">
        <v>8487</v>
      </c>
      <c r="G6" s="4" t="n">
        <v>0.168</v>
      </c>
      <c r="H6" s="4" t="n">
        <v>23</v>
      </c>
      <c r="I6" s="4" t="n">
        <v>84.4</v>
      </c>
      <c r="J6" s="4" t="n">
        <v>4.31</v>
      </c>
      <c r="K6" s="4" t="n">
        <v>0</v>
      </c>
      <c r="L6" s="4" t="n">
        <v>2.8</v>
      </c>
      <c r="M6" s="4" t="n">
        <v>634436</v>
      </c>
      <c r="N6" s="4" t="n">
        <v>106130.54</v>
      </c>
    </row>
    <row r="7" customFormat="false" ht="15" hidden="false" customHeight="true" outlineLevel="0" collapsed="false">
      <c r="A7" s="4" t="s">
        <v>15</v>
      </c>
      <c r="B7" s="5" t="n">
        <v>45717</v>
      </c>
      <c r="C7" s="4" t="s">
        <v>16</v>
      </c>
      <c r="D7" s="4" t="s">
        <v>17</v>
      </c>
      <c r="E7" s="4" t="n">
        <v>59921.75</v>
      </c>
      <c r="F7" s="4" t="n">
        <v>9113</v>
      </c>
      <c r="G7" s="4" t="n">
        <v>0.133</v>
      </c>
      <c r="H7" s="4" t="n">
        <v>20</v>
      </c>
      <c r="I7" s="4" t="n">
        <v>88</v>
      </c>
      <c r="J7" s="4" t="n">
        <v>12</v>
      </c>
      <c r="K7" s="4" t="n">
        <v>0</v>
      </c>
      <c r="L7" s="4" t="n">
        <v>3.2</v>
      </c>
      <c r="M7" s="4" t="n">
        <v>678722.06</v>
      </c>
      <c r="N7" s="4" t="n">
        <v>101883.86</v>
      </c>
    </row>
    <row r="8" customFormat="false" ht="15" hidden="false" customHeight="true" outlineLevel="0" collapsed="false">
      <c r="A8" s="4" t="s">
        <v>15</v>
      </c>
      <c r="B8" s="5" t="n">
        <v>45748</v>
      </c>
      <c r="C8" s="4" t="s">
        <v>16</v>
      </c>
      <c r="D8" s="4" t="s">
        <v>17</v>
      </c>
      <c r="E8" s="4" t="n">
        <v>56856.63</v>
      </c>
      <c r="F8" s="4" t="n">
        <v>9431</v>
      </c>
      <c r="G8" s="4" t="n">
        <v>0.142</v>
      </c>
      <c r="H8" s="4" t="n">
        <v>23</v>
      </c>
      <c r="I8" s="4" t="n">
        <v>86.9</v>
      </c>
      <c r="J8" s="4" t="n">
        <v>4.97</v>
      </c>
      <c r="K8" s="4" t="n">
        <v>0</v>
      </c>
      <c r="L8" s="4" t="n">
        <v>3.4</v>
      </c>
      <c r="M8" s="4" t="n">
        <v>658920.3</v>
      </c>
      <c r="N8" s="4" t="n">
        <v>97910.37</v>
      </c>
    </row>
    <row r="9" customFormat="false" ht="15" hidden="false" customHeight="true" outlineLevel="0" collapsed="false">
      <c r="A9" s="4" t="s">
        <v>18</v>
      </c>
      <c r="B9" s="5" t="n">
        <v>45658</v>
      </c>
      <c r="C9" s="4" t="s">
        <v>16</v>
      </c>
      <c r="D9" s="4" t="s">
        <v>19</v>
      </c>
      <c r="E9" s="4" t="n">
        <v>48412.64</v>
      </c>
      <c r="F9" s="4" t="n">
        <v>9545</v>
      </c>
      <c r="G9" s="4" t="n">
        <v>0.231</v>
      </c>
      <c r="H9" s="4" t="n">
        <v>21</v>
      </c>
      <c r="I9" s="4" t="n">
        <v>97.6</v>
      </c>
      <c r="J9" s="4" t="n">
        <v>6.94</v>
      </c>
      <c r="K9" s="4" t="n">
        <v>1</v>
      </c>
      <c r="L9" s="4" t="n">
        <v>4.2</v>
      </c>
      <c r="M9" s="4" t="n">
        <v>741341.44</v>
      </c>
      <c r="N9" s="4" t="n">
        <v>119208.17</v>
      </c>
    </row>
    <row r="10" customFormat="false" ht="15" hidden="false" customHeight="true" outlineLevel="0" collapsed="false">
      <c r="A10" s="4" t="s">
        <v>18</v>
      </c>
      <c r="B10" s="5" t="n">
        <v>45689</v>
      </c>
      <c r="C10" s="4" t="s">
        <v>16</v>
      </c>
      <c r="D10" s="4" t="s">
        <v>19</v>
      </c>
      <c r="E10" s="4" t="n">
        <v>64811.21</v>
      </c>
      <c r="F10" s="4" t="n">
        <v>9792</v>
      </c>
      <c r="G10" s="4" t="n">
        <v>0.112</v>
      </c>
      <c r="H10" s="4" t="n">
        <v>20</v>
      </c>
      <c r="I10" s="4" t="n">
        <v>84.2</v>
      </c>
      <c r="J10" s="4" t="n">
        <v>2.88</v>
      </c>
      <c r="K10" s="4" t="n">
        <v>0</v>
      </c>
      <c r="L10" s="4" t="n">
        <v>4.2</v>
      </c>
      <c r="M10" s="4" t="n">
        <v>761835.34</v>
      </c>
      <c r="N10" s="4" t="n">
        <v>149602.23</v>
      </c>
    </row>
    <row r="11" customFormat="false" ht="15" hidden="false" customHeight="true" outlineLevel="0" collapsed="false">
      <c r="A11" s="4" t="s">
        <v>18</v>
      </c>
      <c r="B11" s="5" t="n">
        <v>45717</v>
      </c>
      <c r="C11" s="4" t="s">
        <v>16</v>
      </c>
      <c r="D11" s="4" t="s">
        <v>19</v>
      </c>
      <c r="E11" s="4" t="n">
        <v>46213.45</v>
      </c>
      <c r="F11" s="4" t="n">
        <v>10616</v>
      </c>
      <c r="G11" s="4" t="n">
        <v>0.122</v>
      </c>
      <c r="H11" s="4" t="n">
        <v>22</v>
      </c>
      <c r="I11" s="4" t="n">
        <v>85.2</v>
      </c>
      <c r="J11" s="4" t="n">
        <v>0.2</v>
      </c>
      <c r="K11" s="4" t="n">
        <v>1</v>
      </c>
      <c r="L11" s="4" t="n">
        <v>4.1</v>
      </c>
      <c r="M11" s="4" t="n">
        <v>806615.54</v>
      </c>
      <c r="N11" s="4" t="n">
        <v>131364.62</v>
      </c>
    </row>
    <row r="12" customFormat="false" ht="15" hidden="false" customHeight="true" outlineLevel="0" collapsed="false">
      <c r="A12" s="4" t="s">
        <v>18</v>
      </c>
      <c r="B12" s="5" t="n">
        <v>45748</v>
      </c>
      <c r="C12" s="4" t="s">
        <v>16</v>
      </c>
      <c r="D12" s="4" t="s">
        <v>19</v>
      </c>
      <c r="E12" s="4" t="n">
        <v>68148.52</v>
      </c>
      <c r="F12" s="4" t="n">
        <v>8567</v>
      </c>
      <c r="G12" s="4" t="n">
        <v>0.127</v>
      </c>
      <c r="H12" s="4" t="n">
        <v>23</v>
      </c>
      <c r="I12" s="4" t="n">
        <v>95.6</v>
      </c>
      <c r="J12" s="4" t="n">
        <v>0.8</v>
      </c>
      <c r="K12" s="4" t="n">
        <v>0</v>
      </c>
      <c r="L12" s="4" t="n">
        <v>3.9</v>
      </c>
      <c r="M12" s="4" t="n">
        <v>850164.26</v>
      </c>
      <c r="N12" s="4" t="n">
        <v>149262.75</v>
      </c>
    </row>
    <row r="13" customFormat="false" ht="15" hidden="false" customHeight="true" outlineLevel="0" collapsed="false">
      <c r="A13" s="4" t="s">
        <v>20</v>
      </c>
      <c r="B13" s="5" t="n">
        <v>45658</v>
      </c>
      <c r="C13" s="4" t="s">
        <v>21</v>
      </c>
      <c r="D13" s="4" t="s">
        <v>22</v>
      </c>
      <c r="E13" s="4" t="n">
        <v>71838.86</v>
      </c>
      <c r="F13" s="4" t="n">
        <v>10979</v>
      </c>
      <c r="G13" s="4" t="n">
        <v>0.215</v>
      </c>
      <c r="H13" s="4" t="n">
        <v>26</v>
      </c>
      <c r="I13" s="4" t="n">
        <v>88.6</v>
      </c>
      <c r="J13" s="4" t="n">
        <v>7.7</v>
      </c>
      <c r="K13" s="4" t="n">
        <v>1</v>
      </c>
      <c r="L13" s="4" t="n">
        <v>3.8</v>
      </c>
      <c r="M13" s="4" t="n">
        <v>930581.7</v>
      </c>
      <c r="N13" s="4" t="n">
        <v>136207.98</v>
      </c>
    </row>
    <row r="14" customFormat="false" ht="15" hidden="false" customHeight="true" outlineLevel="0" collapsed="false">
      <c r="A14" s="4" t="s">
        <v>20</v>
      </c>
      <c r="B14" s="5" t="n">
        <v>45689</v>
      </c>
      <c r="C14" s="4" t="s">
        <v>21</v>
      </c>
      <c r="D14" s="4" t="s">
        <v>22</v>
      </c>
      <c r="E14" s="4" t="n">
        <v>68133.44</v>
      </c>
      <c r="F14" s="4" t="n">
        <v>9459</v>
      </c>
      <c r="G14" s="4" t="n">
        <v>0.22</v>
      </c>
      <c r="H14" s="4" t="n">
        <v>21</v>
      </c>
      <c r="I14" s="4" t="n">
        <v>85</v>
      </c>
      <c r="J14" s="4" t="n">
        <v>1.91</v>
      </c>
      <c r="K14" s="4" t="n">
        <v>0</v>
      </c>
      <c r="L14" s="4" t="n">
        <v>4.2</v>
      </c>
      <c r="M14" s="4" t="n">
        <v>779010.94</v>
      </c>
      <c r="N14" s="4" t="n">
        <v>106328.09</v>
      </c>
    </row>
    <row r="15" customFormat="false" ht="15" hidden="false" customHeight="true" outlineLevel="0" collapsed="false">
      <c r="A15" s="4" t="s">
        <v>20</v>
      </c>
      <c r="B15" s="5" t="n">
        <v>45717</v>
      </c>
      <c r="C15" s="4" t="s">
        <v>21</v>
      </c>
      <c r="D15" s="4" t="s">
        <v>22</v>
      </c>
      <c r="E15" s="4" t="n">
        <v>34285.21</v>
      </c>
      <c r="F15" s="4" t="n">
        <v>9172</v>
      </c>
      <c r="G15" s="4" t="n">
        <v>0.213</v>
      </c>
      <c r="H15" s="4" t="n">
        <v>22</v>
      </c>
      <c r="I15" s="4" t="n">
        <v>88.3</v>
      </c>
      <c r="J15" s="4" t="n">
        <v>10.46</v>
      </c>
      <c r="K15" s="4" t="n">
        <v>1</v>
      </c>
      <c r="L15" s="4" t="n">
        <v>3.8</v>
      </c>
      <c r="M15" s="4" t="n">
        <v>723060.76</v>
      </c>
      <c r="N15" s="4" t="n">
        <v>123131.24</v>
      </c>
    </row>
    <row r="16" customFormat="false" ht="15" hidden="false" customHeight="true" outlineLevel="0" collapsed="false">
      <c r="A16" s="4" t="s">
        <v>20</v>
      </c>
      <c r="B16" s="5" t="n">
        <v>45748</v>
      </c>
      <c r="C16" s="4" t="s">
        <v>21</v>
      </c>
      <c r="D16" s="4" t="s">
        <v>22</v>
      </c>
      <c r="E16" s="4" t="n">
        <v>67979.88</v>
      </c>
      <c r="F16" s="4" t="n">
        <v>11230</v>
      </c>
      <c r="G16" s="4" t="n">
        <v>0.002</v>
      </c>
      <c r="H16" s="4" t="n">
        <v>28</v>
      </c>
      <c r="I16" s="4" t="n">
        <v>85.3</v>
      </c>
      <c r="J16" s="4" t="n">
        <v>7.16</v>
      </c>
      <c r="K16" s="4" t="n">
        <v>0</v>
      </c>
      <c r="L16" s="4" t="n">
        <v>3.8</v>
      </c>
      <c r="M16" s="4" t="n">
        <v>910791.94</v>
      </c>
      <c r="N16" s="4" t="n">
        <v>158891.28</v>
      </c>
    </row>
    <row r="17" customFormat="false" ht="15" hidden="false" customHeight="true" outlineLevel="0" collapsed="false">
      <c r="A17" s="4" t="s">
        <v>23</v>
      </c>
      <c r="B17" s="5" t="n">
        <v>45658</v>
      </c>
      <c r="C17" s="4" t="s">
        <v>16</v>
      </c>
      <c r="D17" s="4" t="s">
        <v>17</v>
      </c>
      <c r="E17" s="4" t="n">
        <v>71828.26</v>
      </c>
      <c r="F17" s="4" t="n">
        <v>12775</v>
      </c>
      <c r="G17" s="4" t="n">
        <v>0.116</v>
      </c>
      <c r="H17" s="4" t="n">
        <v>30</v>
      </c>
      <c r="I17" s="4" t="n">
        <v>81.7</v>
      </c>
      <c r="J17" s="4" t="n">
        <v>4.24</v>
      </c>
      <c r="K17" s="4" t="n">
        <v>1</v>
      </c>
      <c r="L17" s="4" t="n">
        <v>4.2</v>
      </c>
      <c r="M17" s="4" t="n">
        <v>922168.6</v>
      </c>
      <c r="N17" s="4" t="n">
        <v>107494.53</v>
      </c>
    </row>
    <row r="18" customFormat="false" ht="15" hidden="false" customHeight="true" outlineLevel="0" collapsed="false">
      <c r="A18" s="4" t="s">
        <v>23</v>
      </c>
      <c r="B18" s="5" t="n">
        <v>45689</v>
      </c>
      <c r="C18" s="4" t="s">
        <v>16</v>
      </c>
      <c r="D18" s="4" t="s">
        <v>17</v>
      </c>
      <c r="E18" s="4" t="n">
        <v>55716.82</v>
      </c>
      <c r="F18" s="4" t="n">
        <v>10054</v>
      </c>
      <c r="G18" s="4" t="n">
        <v>0.146</v>
      </c>
      <c r="H18" s="4" t="n">
        <v>24</v>
      </c>
      <c r="I18" s="4" t="n">
        <v>84.9</v>
      </c>
      <c r="J18" s="4" t="n">
        <v>1.06</v>
      </c>
      <c r="K18" s="4" t="n">
        <v>0</v>
      </c>
      <c r="L18" s="4" t="n">
        <v>4.3</v>
      </c>
      <c r="M18" s="4" t="n">
        <v>726606.28</v>
      </c>
      <c r="N18" s="4" t="n">
        <v>122729.29</v>
      </c>
    </row>
    <row r="19" customFormat="false" ht="15" hidden="false" customHeight="true" outlineLevel="0" collapsed="false">
      <c r="A19" s="4" t="s">
        <v>23</v>
      </c>
      <c r="B19" s="5" t="n">
        <v>45717</v>
      </c>
      <c r="C19" s="4" t="s">
        <v>16</v>
      </c>
      <c r="D19" s="4" t="s">
        <v>17</v>
      </c>
      <c r="E19" s="4" t="n">
        <v>59909.51</v>
      </c>
      <c r="F19" s="4" t="n">
        <v>8895</v>
      </c>
      <c r="G19" s="4" t="n">
        <v>0.228</v>
      </c>
      <c r="H19" s="4" t="n">
        <v>23</v>
      </c>
      <c r="I19" s="4" t="n">
        <v>88.8</v>
      </c>
      <c r="J19" s="4" t="n">
        <v>0.27</v>
      </c>
      <c r="K19" s="4" t="n">
        <v>0</v>
      </c>
      <c r="L19" s="4" t="n">
        <v>4.3</v>
      </c>
      <c r="M19" s="4" t="n">
        <v>746501.09</v>
      </c>
      <c r="N19" s="4" t="n">
        <v>136816.72</v>
      </c>
    </row>
    <row r="20" customFormat="false" ht="15" hidden="false" customHeight="true" outlineLevel="0" collapsed="false">
      <c r="A20" s="4" t="s">
        <v>23</v>
      </c>
      <c r="B20" s="5" t="n">
        <v>45748</v>
      </c>
      <c r="C20" s="4" t="s">
        <v>16</v>
      </c>
      <c r="D20" s="4" t="s">
        <v>17</v>
      </c>
      <c r="E20" s="4" t="n">
        <v>75305.71</v>
      </c>
      <c r="F20" s="4" t="n">
        <v>10940</v>
      </c>
      <c r="G20" s="4" t="n">
        <v>0.006</v>
      </c>
      <c r="H20" s="4" t="n">
        <v>26</v>
      </c>
      <c r="I20" s="4" t="n">
        <v>76.5</v>
      </c>
      <c r="J20" s="4" t="n">
        <v>1.32</v>
      </c>
      <c r="K20" s="4" t="n">
        <v>0</v>
      </c>
      <c r="L20" s="4" t="n">
        <v>4.5</v>
      </c>
      <c r="M20" s="4" t="n">
        <v>834017.02</v>
      </c>
      <c r="N20" s="4" t="n">
        <v>114745.03</v>
      </c>
    </row>
    <row r="21" customFormat="false" ht="15" hidden="false" customHeight="true" outlineLevel="0" collapsed="false">
      <c r="A21" s="4" t="s">
        <v>24</v>
      </c>
      <c r="B21" s="5" t="n">
        <v>45658</v>
      </c>
      <c r="C21" s="4" t="s">
        <v>25</v>
      </c>
      <c r="D21" s="4" t="s">
        <v>17</v>
      </c>
      <c r="E21" s="4" t="n">
        <v>48804.22</v>
      </c>
      <c r="F21" s="4" t="n">
        <v>7057</v>
      </c>
      <c r="G21" s="4" t="n">
        <v>0.005</v>
      </c>
      <c r="H21" s="4" t="n">
        <v>15</v>
      </c>
      <c r="I21" s="4" t="n">
        <v>87.7</v>
      </c>
      <c r="J21" s="4" t="n">
        <v>1.22</v>
      </c>
      <c r="K21" s="4" t="n">
        <v>0</v>
      </c>
      <c r="L21" s="4" t="n">
        <v>3.7</v>
      </c>
      <c r="M21" s="4" t="n">
        <v>666152.52</v>
      </c>
      <c r="N21" s="4" t="n">
        <v>107490.58</v>
      </c>
    </row>
    <row r="22" customFormat="false" ht="15" hidden="false" customHeight="true" outlineLevel="0" collapsed="false">
      <c r="A22" s="4" t="s">
        <v>24</v>
      </c>
      <c r="B22" s="5" t="n">
        <v>45689</v>
      </c>
      <c r="C22" s="4" t="s">
        <v>25</v>
      </c>
      <c r="D22" s="4" t="s">
        <v>17</v>
      </c>
      <c r="E22" s="4" t="n">
        <v>59117.9</v>
      </c>
      <c r="F22" s="4" t="n">
        <v>4263</v>
      </c>
      <c r="G22" s="4" t="n">
        <v>0.119</v>
      </c>
      <c r="H22" s="4" t="n">
        <v>9</v>
      </c>
      <c r="I22" s="4" t="n">
        <v>87.6</v>
      </c>
      <c r="J22" s="4" t="n">
        <v>4.01</v>
      </c>
      <c r="K22" s="4" t="n">
        <v>0</v>
      </c>
      <c r="L22" s="4" t="n">
        <v>3.6</v>
      </c>
      <c r="M22" s="4" t="n">
        <v>573155.19</v>
      </c>
      <c r="N22" s="4" t="n">
        <v>83680.75</v>
      </c>
    </row>
    <row r="23" customFormat="false" ht="15" hidden="false" customHeight="true" outlineLevel="0" collapsed="false">
      <c r="A23" s="4" t="s">
        <v>24</v>
      </c>
      <c r="B23" s="5" t="n">
        <v>45717</v>
      </c>
      <c r="C23" s="4" t="s">
        <v>25</v>
      </c>
      <c r="D23" s="4" t="s">
        <v>17</v>
      </c>
      <c r="E23" s="4" t="n">
        <v>78831.12</v>
      </c>
      <c r="F23" s="4" t="n">
        <v>5538</v>
      </c>
      <c r="G23" s="4" t="n">
        <v>0</v>
      </c>
      <c r="H23" s="4" t="n">
        <v>15</v>
      </c>
      <c r="I23" s="4" t="n">
        <v>94.1</v>
      </c>
      <c r="J23" s="4" t="n">
        <v>0.2</v>
      </c>
      <c r="K23" s="4" t="n">
        <v>0</v>
      </c>
      <c r="L23" s="4" t="n">
        <v>3.9</v>
      </c>
      <c r="M23" s="4" t="n">
        <v>666573.2</v>
      </c>
      <c r="N23" s="4" t="n">
        <v>140641.02</v>
      </c>
    </row>
    <row r="24" customFormat="false" ht="15" hidden="false" customHeight="true" outlineLevel="0" collapsed="false">
      <c r="A24" s="4" t="s">
        <v>24</v>
      </c>
      <c r="B24" s="5" t="n">
        <v>45748</v>
      </c>
      <c r="C24" s="4" t="s">
        <v>25</v>
      </c>
      <c r="D24" s="4" t="s">
        <v>17</v>
      </c>
      <c r="E24" s="4" t="n">
        <v>41441.93</v>
      </c>
      <c r="F24" s="4" t="n">
        <v>4865</v>
      </c>
      <c r="G24" s="4" t="n">
        <v>0.158</v>
      </c>
      <c r="H24" s="4" t="n">
        <v>16</v>
      </c>
      <c r="I24" s="4" t="n">
        <v>88.3</v>
      </c>
      <c r="J24" s="4" t="n">
        <v>0.5</v>
      </c>
      <c r="K24" s="4" t="n">
        <v>0</v>
      </c>
      <c r="L24" s="4" t="n">
        <v>4</v>
      </c>
      <c r="M24" s="4" t="n">
        <v>591619.95</v>
      </c>
      <c r="N24" s="4" t="n">
        <v>99521.35</v>
      </c>
    </row>
    <row r="25" customFormat="false" ht="15" hidden="false" customHeight="true" outlineLevel="0" collapsed="false">
      <c r="A25" s="4" t="s">
        <v>26</v>
      </c>
      <c r="B25" s="5" t="n">
        <v>45658</v>
      </c>
      <c r="C25" s="4" t="s">
        <v>21</v>
      </c>
      <c r="D25" s="4" t="s">
        <v>17</v>
      </c>
      <c r="E25" s="4" t="n">
        <v>30356.28</v>
      </c>
      <c r="F25" s="4" t="n">
        <v>2822</v>
      </c>
      <c r="G25" s="4" t="n">
        <v>0.231</v>
      </c>
      <c r="H25" s="4" t="n">
        <v>9</v>
      </c>
      <c r="I25" s="4" t="n">
        <v>84.8</v>
      </c>
      <c r="J25" s="4" t="n">
        <v>6.95</v>
      </c>
      <c r="K25" s="4" t="n">
        <v>0</v>
      </c>
      <c r="L25" s="4" t="n">
        <v>5</v>
      </c>
      <c r="M25" s="4" t="n">
        <v>415721.82</v>
      </c>
      <c r="N25" s="4" t="n">
        <v>61179.15</v>
      </c>
    </row>
    <row r="26" customFormat="false" ht="15" hidden="false" customHeight="true" outlineLevel="0" collapsed="false">
      <c r="A26" s="4" t="s">
        <v>26</v>
      </c>
      <c r="B26" s="5" t="n">
        <v>45689</v>
      </c>
      <c r="C26" s="4" t="s">
        <v>21</v>
      </c>
      <c r="D26" s="4" t="s">
        <v>17</v>
      </c>
      <c r="E26" s="4" t="n">
        <v>33518.88</v>
      </c>
      <c r="F26" s="4" t="n">
        <v>2121</v>
      </c>
      <c r="G26" s="4" t="n">
        <v>0.176</v>
      </c>
      <c r="H26" s="4" t="n">
        <v>8</v>
      </c>
      <c r="I26" s="4" t="n">
        <v>88.5</v>
      </c>
      <c r="J26" s="4" t="n">
        <v>0.2</v>
      </c>
      <c r="K26" s="4" t="n">
        <v>0</v>
      </c>
      <c r="L26" s="4" t="n">
        <v>5</v>
      </c>
      <c r="M26" s="4" t="n">
        <v>491905.13</v>
      </c>
      <c r="N26" s="4" t="n">
        <v>79212.26</v>
      </c>
    </row>
    <row r="27" customFormat="false" ht="15" hidden="false" customHeight="true" outlineLevel="0" collapsed="false">
      <c r="A27" s="4" t="s">
        <v>26</v>
      </c>
      <c r="B27" s="5" t="n">
        <v>45717</v>
      </c>
      <c r="C27" s="4" t="s">
        <v>21</v>
      </c>
      <c r="D27" s="4" t="s">
        <v>17</v>
      </c>
      <c r="E27" s="4" t="n">
        <v>42267.37</v>
      </c>
      <c r="F27" s="4" t="n">
        <v>3364</v>
      </c>
      <c r="G27" s="4" t="n">
        <v>0.16</v>
      </c>
      <c r="H27" s="4" t="n">
        <v>13</v>
      </c>
      <c r="I27" s="4" t="n">
        <v>82</v>
      </c>
      <c r="J27" s="4" t="n">
        <v>1.61</v>
      </c>
      <c r="K27" s="4" t="n">
        <v>1</v>
      </c>
      <c r="L27" s="4" t="n">
        <v>4.6</v>
      </c>
      <c r="M27" s="4" t="n">
        <v>555929.4</v>
      </c>
      <c r="N27" s="4" t="n">
        <v>115201.76</v>
      </c>
    </row>
    <row r="28" customFormat="false" ht="15" hidden="false" customHeight="true" outlineLevel="0" collapsed="false">
      <c r="A28" s="4" t="s">
        <v>26</v>
      </c>
      <c r="B28" s="5" t="n">
        <v>45748</v>
      </c>
      <c r="C28" s="4" t="s">
        <v>21</v>
      </c>
      <c r="D28" s="4" t="s">
        <v>17</v>
      </c>
      <c r="E28" s="4" t="n">
        <v>62060.43</v>
      </c>
      <c r="F28" s="4" t="n">
        <v>2613</v>
      </c>
      <c r="G28" s="4" t="n">
        <v>0.216</v>
      </c>
      <c r="H28" s="4" t="n">
        <v>12</v>
      </c>
      <c r="I28" s="4" t="n">
        <v>92.1</v>
      </c>
      <c r="J28" s="4" t="n">
        <v>1.55</v>
      </c>
      <c r="K28" s="4" t="n">
        <v>0</v>
      </c>
      <c r="L28" s="4" t="n">
        <v>4.7</v>
      </c>
      <c r="M28" s="4" t="n">
        <v>565810.99</v>
      </c>
      <c r="N28" s="4" t="n">
        <v>77825.46</v>
      </c>
    </row>
    <row r="29" customFormat="false" ht="15" hidden="false" customHeight="true" outlineLevel="0" collapsed="false">
      <c r="A29" s="4" t="s">
        <v>27</v>
      </c>
      <c r="B29" s="5" t="n">
        <v>45658</v>
      </c>
      <c r="C29" s="4" t="s">
        <v>28</v>
      </c>
      <c r="D29" s="4" t="s">
        <v>29</v>
      </c>
      <c r="E29" s="4" t="n">
        <v>57696.69</v>
      </c>
      <c r="F29" s="4" t="n">
        <v>10218</v>
      </c>
      <c r="G29" s="4" t="n">
        <v>0.121</v>
      </c>
      <c r="H29" s="4" t="n">
        <v>25</v>
      </c>
      <c r="I29" s="4" t="n">
        <v>94.8</v>
      </c>
      <c r="J29" s="4" t="n">
        <v>2.99</v>
      </c>
      <c r="K29" s="4" t="n">
        <v>0</v>
      </c>
      <c r="L29" s="4" t="n">
        <v>3.5</v>
      </c>
      <c r="M29" s="4" t="n">
        <v>811771.14</v>
      </c>
      <c r="N29" s="4" t="n">
        <v>148756.24</v>
      </c>
    </row>
    <row r="30" customFormat="false" ht="15" hidden="false" customHeight="true" outlineLevel="0" collapsed="false">
      <c r="A30" s="4" t="s">
        <v>27</v>
      </c>
      <c r="B30" s="5" t="n">
        <v>45689</v>
      </c>
      <c r="C30" s="4" t="s">
        <v>28</v>
      </c>
      <c r="D30" s="4" t="s">
        <v>29</v>
      </c>
      <c r="E30" s="4" t="n">
        <v>172415.52</v>
      </c>
      <c r="F30" s="4" t="n">
        <v>8927</v>
      </c>
      <c r="G30" s="4" t="n">
        <v>0.14</v>
      </c>
      <c r="H30" s="4" t="n">
        <v>22</v>
      </c>
      <c r="I30" s="4" t="n">
        <v>86.2</v>
      </c>
      <c r="J30" s="4" t="n">
        <v>7.04</v>
      </c>
      <c r="K30" s="4" t="n">
        <v>0</v>
      </c>
      <c r="L30" s="4" t="n">
        <v>3.9</v>
      </c>
      <c r="M30" s="4" t="n">
        <v>800451.94</v>
      </c>
      <c r="N30" s="4" t="n">
        <v>111572.29</v>
      </c>
    </row>
    <row r="31" customFormat="false" ht="15" hidden="false" customHeight="true" outlineLevel="0" collapsed="false">
      <c r="A31" s="4" t="s">
        <v>27</v>
      </c>
      <c r="B31" s="5" t="n">
        <v>45717</v>
      </c>
      <c r="C31" s="4" t="s">
        <v>28</v>
      </c>
      <c r="D31" s="4" t="s">
        <v>29</v>
      </c>
      <c r="E31" s="4" t="n">
        <v>55270.52</v>
      </c>
      <c r="F31" s="4" t="n">
        <v>9315</v>
      </c>
      <c r="G31" s="4" t="n">
        <v>0.169</v>
      </c>
      <c r="H31" s="4" t="n">
        <v>23</v>
      </c>
      <c r="I31" s="4" t="n">
        <v>91.9</v>
      </c>
      <c r="J31" s="4" t="n">
        <v>4.94</v>
      </c>
      <c r="K31" s="4" t="n">
        <v>0</v>
      </c>
      <c r="L31" s="4" t="n">
        <v>4</v>
      </c>
      <c r="M31" s="4" t="n">
        <v>783672.82</v>
      </c>
      <c r="N31" s="4" t="n">
        <v>112577.14</v>
      </c>
    </row>
    <row r="32" customFormat="false" ht="15" hidden="false" customHeight="true" outlineLevel="0" collapsed="false">
      <c r="A32" s="4" t="s">
        <v>27</v>
      </c>
      <c r="B32" s="5" t="n">
        <v>45748</v>
      </c>
      <c r="C32" s="4" t="s">
        <v>28</v>
      </c>
      <c r="D32" s="4" t="s">
        <v>29</v>
      </c>
      <c r="E32" s="4" t="n">
        <v>52715.1</v>
      </c>
      <c r="F32" s="4" t="n">
        <v>7223</v>
      </c>
      <c r="G32" s="4" t="n">
        <v>0.122</v>
      </c>
      <c r="H32" s="4" t="n">
        <v>16</v>
      </c>
      <c r="I32" s="4" t="n">
        <v>84.2</v>
      </c>
      <c r="J32" s="4" t="n">
        <v>16.15</v>
      </c>
      <c r="K32" s="4" t="n">
        <v>0</v>
      </c>
      <c r="L32" s="4" t="n">
        <v>3.7</v>
      </c>
      <c r="M32" s="4" t="n">
        <v>701641.97</v>
      </c>
      <c r="N32" s="4" t="n">
        <v>106111.86</v>
      </c>
    </row>
    <row r="33" customFormat="false" ht="15" hidden="false" customHeight="true" outlineLevel="0" collapsed="false">
      <c r="A33" s="4" t="s">
        <v>30</v>
      </c>
      <c r="B33" s="5" t="n">
        <v>45658</v>
      </c>
      <c r="C33" s="4" t="s">
        <v>16</v>
      </c>
      <c r="D33" s="4" t="s">
        <v>17</v>
      </c>
      <c r="E33" s="4" t="n">
        <v>68600.62</v>
      </c>
      <c r="F33" s="4" t="n">
        <v>3988</v>
      </c>
      <c r="G33" s="4" t="n">
        <v>0.124</v>
      </c>
      <c r="H33" s="4" t="n">
        <v>11</v>
      </c>
      <c r="I33" s="4" t="n">
        <v>85</v>
      </c>
      <c r="J33" s="4" t="n">
        <v>0.48</v>
      </c>
      <c r="K33" s="4" t="n">
        <v>0</v>
      </c>
      <c r="L33" s="4" t="n">
        <v>3.6</v>
      </c>
      <c r="M33" s="4" t="n">
        <v>511844.41</v>
      </c>
      <c r="N33" s="4" t="n">
        <v>72774.44</v>
      </c>
    </row>
    <row r="34" customFormat="false" ht="15" hidden="false" customHeight="true" outlineLevel="0" collapsed="false">
      <c r="A34" s="4" t="s">
        <v>30</v>
      </c>
      <c r="B34" s="5" t="n">
        <v>45689</v>
      </c>
      <c r="C34" s="4" t="s">
        <v>16</v>
      </c>
      <c r="D34" s="4" t="s">
        <v>17</v>
      </c>
      <c r="E34" s="4" t="n">
        <v>63176.73</v>
      </c>
      <c r="F34" s="4" t="n">
        <v>2390</v>
      </c>
      <c r="G34" s="4" t="n">
        <v>0.216</v>
      </c>
      <c r="H34" s="4" t="n">
        <v>9</v>
      </c>
      <c r="I34" s="4" t="n">
        <v>87.5</v>
      </c>
      <c r="J34" s="4" t="n">
        <v>0.31</v>
      </c>
      <c r="K34" s="4" t="n">
        <v>0</v>
      </c>
      <c r="L34" s="4" t="n">
        <v>3.1</v>
      </c>
      <c r="M34" s="4" t="n">
        <v>537383.79</v>
      </c>
      <c r="N34" s="4" t="n">
        <v>63773.27</v>
      </c>
    </row>
    <row r="35" customFormat="false" ht="15" hidden="false" customHeight="true" outlineLevel="0" collapsed="false">
      <c r="A35" s="4" t="s">
        <v>30</v>
      </c>
      <c r="B35" s="5" t="n">
        <v>45717</v>
      </c>
      <c r="C35" s="4" t="s">
        <v>16</v>
      </c>
      <c r="D35" s="4" t="s">
        <v>17</v>
      </c>
      <c r="E35" s="4" t="n">
        <v>44970.08</v>
      </c>
      <c r="F35" s="4" t="n">
        <v>2471</v>
      </c>
      <c r="G35" s="4" t="n">
        <v>0.136</v>
      </c>
      <c r="H35" s="4" t="n">
        <v>11</v>
      </c>
      <c r="I35" s="4" t="n">
        <v>87.6</v>
      </c>
      <c r="J35" s="4" t="n">
        <v>3.01</v>
      </c>
      <c r="K35" s="4" t="n">
        <v>1</v>
      </c>
      <c r="L35" s="4" t="n">
        <v>3.7</v>
      </c>
      <c r="M35" s="4" t="n">
        <v>500173.02</v>
      </c>
      <c r="N35" s="4" t="n">
        <v>70982.05</v>
      </c>
    </row>
    <row r="36" customFormat="false" ht="15" hidden="false" customHeight="true" outlineLevel="0" collapsed="false">
      <c r="A36" s="4" t="s">
        <v>30</v>
      </c>
      <c r="B36" s="5" t="n">
        <v>45748</v>
      </c>
      <c r="C36" s="4" t="s">
        <v>16</v>
      </c>
      <c r="D36" s="4" t="s">
        <v>17</v>
      </c>
      <c r="E36" s="4" t="n">
        <v>69816.35</v>
      </c>
      <c r="F36" s="4" t="n">
        <v>971</v>
      </c>
      <c r="G36" s="4" t="n">
        <v>0.168</v>
      </c>
      <c r="H36" s="4" t="n">
        <v>5</v>
      </c>
      <c r="I36" s="4" t="n">
        <v>89.9</v>
      </c>
      <c r="J36" s="4" t="n">
        <v>12.15</v>
      </c>
      <c r="K36" s="4" t="n">
        <v>0</v>
      </c>
      <c r="L36" s="4" t="n">
        <v>3.6</v>
      </c>
      <c r="M36" s="4" t="n">
        <v>427917.38</v>
      </c>
      <c r="N36" s="4" t="n">
        <v>81824.31</v>
      </c>
    </row>
    <row r="37" customFormat="false" ht="15" hidden="false" customHeight="true" outlineLevel="0" collapsed="false">
      <c r="A37" s="4" t="s">
        <v>31</v>
      </c>
      <c r="B37" s="5" t="n">
        <v>45658</v>
      </c>
      <c r="C37" s="4" t="s">
        <v>21</v>
      </c>
      <c r="D37" s="4" t="s">
        <v>17</v>
      </c>
      <c r="E37" s="4" t="n">
        <v>54597.83</v>
      </c>
      <c r="F37" s="4" t="n">
        <v>9429</v>
      </c>
      <c r="G37" s="4" t="n">
        <v>0.188</v>
      </c>
      <c r="H37" s="4" t="n">
        <v>21</v>
      </c>
      <c r="I37" s="4" t="n">
        <v>83.3</v>
      </c>
      <c r="J37" s="4" t="n">
        <v>11.71</v>
      </c>
      <c r="K37" s="4" t="n">
        <v>0</v>
      </c>
      <c r="L37" s="4" t="n">
        <v>4.2</v>
      </c>
      <c r="M37" s="4" t="n">
        <v>641865.03</v>
      </c>
      <c r="N37" s="4" t="n">
        <v>81342.58</v>
      </c>
    </row>
    <row r="38" customFormat="false" ht="15" hidden="false" customHeight="true" outlineLevel="0" collapsed="false">
      <c r="A38" s="4" t="s">
        <v>31</v>
      </c>
      <c r="B38" s="5" t="n">
        <v>45717</v>
      </c>
      <c r="C38" s="4" t="s">
        <v>21</v>
      </c>
      <c r="D38" s="4" t="s">
        <v>17</v>
      </c>
      <c r="E38" s="4" t="n">
        <v>74413.88</v>
      </c>
      <c r="F38" s="4" t="n">
        <v>9449</v>
      </c>
      <c r="G38" s="4" t="n">
        <v>0.039</v>
      </c>
      <c r="H38" s="4" t="n">
        <v>23</v>
      </c>
      <c r="I38" s="4" t="n">
        <v>92.1</v>
      </c>
      <c r="J38" s="4" t="n">
        <v>2.12</v>
      </c>
      <c r="K38" s="4" t="n">
        <v>0</v>
      </c>
      <c r="L38" s="4" t="n">
        <v>3.5</v>
      </c>
      <c r="M38" s="4" t="n">
        <v>798952.17</v>
      </c>
      <c r="N38" s="4" t="n">
        <v>161499.04</v>
      </c>
    </row>
    <row r="39" customFormat="false" ht="15" hidden="false" customHeight="true" outlineLevel="0" collapsed="false">
      <c r="A39" s="4" t="s">
        <v>31</v>
      </c>
      <c r="B39" s="5" t="n">
        <v>45748</v>
      </c>
      <c r="C39" s="4" t="s">
        <v>21</v>
      </c>
      <c r="D39" s="4" t="s">
        <v>17</v>
      </c>
      <c r="E39" s="4" t="n">
        <v>52483.77</v>
      </c>
      <c r="F39" s="4" t="n">
        <v>10453</v>
      </c>
      <c r="G39" s="4" t="n">
        <v>0.247</v>
      </c>
      <c r="H39" s="4" t="n">
        <v>25</v>
      </c>
      <c r="I39" s="4" t="n">
        <v>99</v>
      </c>
      <c r="J39" s="4" t="n">
        <v>6.31</v>
      </c>
      <c r="K39" s="4" t="n">
        <v>0</v>
      </c>
      <c r="L39" s="4" t="n">
        <v>3.6</v>
      </c>
      <c r="M39" s="4" t="n">
        <v>800979.78</v>
      </c>
      <c r="N39" s="4" t="n">
        <v>149242.27</v>
      </c>
    </row>
    <row r="40" customFormat="false" ht="15" hidden="false" customHeight="true" outlineLevel="0" collapsed="false">
      <c r="A40" s="4" t="s">
        <v>32</v>
      </c>
      <c r="B40" s="5" t="n">
        <v>45658</v>
      </c>
      <c r="C40" s="4" t="s">
        <v>21</v>
      </c>
      <c r="D40" s="4" t="s">
        <v>29</v>
      </c>
      <c r="E40" s="4" t="n">
        <v>75269.87</v>
      </c>
      <c r="F40" s="4" t="n">
        <v>8838</v>
      </c>
      <c r="G40" s="4" t="n">
        <v>0.092</v>
      </c>
      <c r="H40" s="4" t="n">
        <v>21</v>
      </c>
      <c r="I40" s="4" t="n">
        <v>83.1</v>
      </c>
      <c r="J40" s="4" t="n">
        <v>9.56</v>
      </c>
      <c r="K40" s="4" t="n">
        <v>1</v>
      </c>
      <c r="L40" s="4" t="n">
        <v>4.2</v>
      </c>
      <c r="M40" s="4" t="n">
        <v>820593.93</v>
      </c>
      <c r="N40" s="4" t="n">
        <v>115860.06</v>
      </c>
    </row>
    <row r="41" customFormat="false" ht="15" hidden="false" customHeight="true" outlineLevel="0" collapsed="false">
      <c r="A41" s="4" t="s">
        <v>32</v>
      </c>
      <c r="B41" s="5" t="n">
        <v>45689</v>
      </c>
      <c r="C41" s="4" t="s">
        <v>21</v>
      </c>
      <c r="D41" s="4" t="s">
        <v>29</v>
      </c>
      <c r="E41" s="4" t="n">
        <v>61245.41</v>
      </c>
      <c r="F41" s="4" t="n">
        <v>8156</v>
      </c>
      <c r="G41" s="4" t="n">
        <v>0.156</v>
      </c>
      <c r="H41" s="4" t="n">
        <v>19</v>
      </c>
      <c r="I41" s="4" t="n">
        <v>92.9</v>
      </c>
      <c r="J41" s="4" t="n">
        <v>9.05</v>
      </c>
      <c r="K41" s="4" t="n">
        <v>0</v>
      </c>
      <c r="L41" s="4" t="n">
        <v>3.8</v>
      </c>
      <c r="M41" s="4" t="n">
        <v>718330.53</v>
      </c>
      <c r="N41" s="4" t="n">
        <v>93247.9</v>
      </c>
    </row>
    <row r="42" customFormat="false" ht="15" hidden="false" customHeight="true" outlineLevel="0" collapsed="false">
      <c r="A42" s="4" t="s">
        <v>32</v>
      </c>
      <c r="B42" s="5" t="n">
        <v>45717</v>
      </c>
      <c r="C42" s="4" t="s">
        <v>21</v>
      </c>
      <c r="D42" s="4" t="s">
        <v>29</v>
      </c>
      <c r="E42" s="4" t="n">
        <v>93381.26</v>
      </c>
      <c r="F42" s="4" t="n">
        <v>7562</v>
      </c>
      <c r="G42" s="4" t="n">
        <v>0.198</v>
      </c>
      <c r="H42" s="4" t="n">
        <v>19</v>
      </c>
      <c r="I42" s="4" t="n">
        <v>82.9</v>
      </c>
      <c r="J42" s="4" t="n">
        <v>5.05</v>
      </c>
      <c r="K42" s="4" t="n">
        <v>0</v>
      </c>
      <c r="L42" s="4" t="n">
        <v>4</v>
      </c>
      <c r="M42" s="4" t="n">
        <v>736633.4</v>
      </c>
      <c r="N42" s="4" t="n">
        <v>115654.66</v>
      </c>
    </row>
    <row r="43" customFormat="false" ht="15" hidden="false" customHeight="true" outlineLevel="0" collapsed="false">
      <c r="A43" s="4" t="s">
        <v>32</v>
      </c>
      <c r="B43" s="5" t="n">
        <v>45748</v>
      </c>
      <c r="C43" s="4" t="s">
        <v>21</v>
      </c>
      <c r="D43" s="4" t="s">
        <v>29</v>
      </c>
      <c r="E43" s="4" t="n">
        <v>65012.19</v>
      </c>
      <c r="F43" s="4" t="n">
        <v>9598</v>
      </c>
      <c r="G43" s="4" t="n">
        <v>0.085</v>
      </c>
      <c r="H43" s="4" t="n">
        <v>24</v>
      </c>
      <c r="I43" s="4" t="n">
        <v>98.3</v>
      </c>
      <c r="J43" s="4" t="n">
        <v>0.89</v>
      </c>
      <c r="K43" s="4" t="n">
        <v>0</v>
      </c>
      <c r="L43" s="4" t="n">
        <v>3.8</v>
      </c>
      <c r="M43" s="4" t="n">
        <v>828623.85</v>
      </c>
      <c r="N43" s="4" t="n">
        <v>167320.52</v>
      </c>
    </row>
    <row r="44" customFormat="false" ht="15" hidden="false" customHeight="true" outlineLevel="0" collapsed="false">
      <c r="A44" s="4" t="s">
        <v>33</v>
      </c>
      <c r="B44" s="5" t="n">
        <v>45658</v>
      </c>
      <c r="C44" s="4" t="s">
        <v>16</v>
      </c>
      <c r="D44" s="4" t="s">
        <v>29</v>
      </c>
      <c r="E44" s="4" t="n">
        <v>40462.94</v>
      </c>
      <c r="F44" s="4" t="n">
        <v>3660</v>
      </c>
      <c r="G44" s="4" t="n">
        <v>0.218</v>
      </c>
      <c r="H44" s="4" t="n">
        <v>11</v>
      </c>
      <c r="I44" s="4" t="n">
        <v>95.2</v>
      </c>
      <c r="J44" s="4" t="n">
        <v>5.57</v>
      </c>
      <c r="K44" s="4" t="n">
        <v>0</v>
      </c>
      <c r="L44" s="4" t="n">
        <v>4.4</v>
      </c>
      <c r="M44" s="4" t="n">
        <v>592195.85</v>
      </c>
      <c r="N44" s="4" t="n">
        <v>92291.56</v>
      </c>
    </row>
    <row r="45" customFormat="false" ht="15" hidden="false" customHeight="true" outlineLevel="0" collapsed="false">
      <c r="A45" s="4" t="s">
        <v>33</v>
      </c>
      <c r="B45" s="5" t="n">
        <v>45689</v>
      </c>
      <c r="C45" s="4" t="s">
        <v>16</v>
      </c>
      <c r="D45" s="4" t="s">
        <v>29</v>
      </c>
      <c r="E45" s="4" t="n">
        <v>46123.88</v>
      </c>
      <c r="F45" s="4" t="n">
        <v>3227</v>
      </c>
      <c r="G45" s="4" t="n">
        <v>0.143</v>
      </c>
      <c r="H45" s="4" t="n">
        <v>10</v>
      </c>
      <c r="I45" s="4" t="n">
        <v>75.4</v>
      </c>
      <c r="J45" s="4" t="n">
        <v>1.06</v>
      </c>
      <c r="K45" s="4" t="n">
        <v>0</v>
      </c>
      <c r="L45" s="4" t="n">
        <v>4.4</v>
      </c>
      <c r="M45" s="4" t="n">
        <v>532644.46</v>
      </c>
      <c r="N45" s="4" t="n">
        <v>60681.32</v>
      </c>
    </row>
    <row r="46" customFormat="false" ht="15" hidden="false" customHeight="true" outlineLevel="0" collapsed="false">
      <c r="A46" s="4" t="s">
        <v>33</v>
      </c>
      <c r="B46" s="5" t="n">
        <v>45717</v>
      </c>
      <c r="C46" s="4" t="s">
        <v>16</v>
      </c>
      <c r="D46" s="4" t="s">
        <v>29</v>
      </c>
      <c r="E46" s="4" t="n">
        <v>68077.54</v>
      </c>
      <c r="F46" s="4" t="n">
        <v>3360</v>
      </c>
      <c r="G46" s="4" t="n">
        <v>0.128</v>
      </c>
      <c r="H46" s="4" t="n">
        <v>14</v>
      </c>
      <c r="I46" s="4" t="n">
        <v>88.2</v>
      </c>
      <c r="J46" s="4" t="n">
        <v>1.24</v>
      </c>
      <c r="K46" s="4" t="n">
        <v>1</v>
      </c>
      <c r="L46" s="4" t="n">
        <v>4</v>
      </c>
      <c r="M46" s="4" t="n">
        <v>657429.18</v>
      </c>
      <c r="N46" s="4" t="n">
        <v>88919.74</v>
      </c>
    </row>
    <row r="47" customFormat="false" ht="15" hidden="false" customHeight="true" outlineLevel="0" collapsed="false">
      <c r="A47" s="4" t="s">
        <v>33</v>
      </c>
      <c r="B47" s="5" t="n">
        <v>45748</v>
      </c>
      <c r="C47" s="4" t="s">
        <v>16</v>
      </c>
      <c r="D47" s="4" t="s">
        <v>29</v>
      </c>
      <c r="E47" s="4" t="n">
        <v>64882.14</v>
      </c>
      <c r="F47" s="4" t="n">
        <v>3642</v>
      </c>
      <c r="G47" s="4" t="n">
        <v>0.019</v>
      </c>
      <c r="H47" s="4" t="n">
        <v>13</v>
      </c>
      <c r="I47" s="4" t="n">
        <v>87.8</v>
      </c>
      <c r="J47" s="4" t="n">
        <v>4.52</v>
      </c>
      <c r="K47" s="4" t="n">
        <v>0</v>
      </c>
      <c r="L47" s="4" t="n">
        <v>4.2</v>
      </c>
      <c r="M47" s="4" t="n">
        <v>605178</v>
      </c>
      <c r="N47" s="4" t="n">
        <v>106958.74</v>
      </c>
    </row>
    <row r="48" customFormat="false" ht="15" hidden="false" customHeight="true" outlineLevel="0" collapsed="false">
      <c r="A48" s="4" t="s">
        <v>34</v>
      </c>
      <c r="B48" s="5" t="n">
        <v>45658</v>
      </c>
      <c r="C48" s="4" t="s">
        <v>28</v>
      </c>
      <c r="D48" s="4" t="s">
        <v>17</v>
      </c>
      <c r="E48" s="4" t="n">
        <v>138855.51</v>
      </c>
      <c r="F48" s="4" t="n">
        <v>5145</v>
      </c>
      <c r="G48" s="4" t="n">
        <v>0.06</v>
      </c>
      <c r="H48" s="4" t="n">
        <v>17</v>
      </c>
      <c r="I48" s="4" t="n">
        <v>88.2</v>
      </c>
      <c r="J48" s="4" t="n">
        <v>9.58</v>
      </c>
      <c r="K48" s="4" t="n">
        <v>0</v>
      </c>
      <c r="L48" s="4" t="n">
        <v>3.2</v>
      </c>
      <c r="M48" s="4" t="n">
        <v>595467.6</v>
      </c>
      <c r="N48" s="4" t="n">
        <v>104276.46</v>
      </c>
    </row>
    <row r="49" customFormat="false" ht="15" hidden="false" customHeight="true" outlineLevel="0" collapsed="false">
      <c r="A49" s="4" t="s">
        <v>34</v>
      </c>
      <c r="B49" s="5" t="n">
        <v>45689</v>
      </c>
      <c r="C49" s="4" t="s">
        <v>28</v>
      </c>
      <c r="D49" s="4" t="s">
        <v>17</v>
      </c>
      <c r="E49" s="4" t="n">
        <v>63630.21</v>
      </c>
      <c r="F49" s="4" t="n">
        <v>4460</v>
      </c>
      <c r="G49" s="4" t="n">
        <v>0.235</v>
      </c>
      <c r="H49" s="4" t="n">
        <v>14</v>
      </c>
      <c r="I49" s="4" t="n">
        <v>98.6</v>
      </c>
      <c r="J49" s="4" t="n">
        <v>5.52</v>
      </c>
      <c r="K49" s="4" t="n">
        <v>0</v>
      </c>
      <c r="L49" s="4" t="n">
        <v>3.5</v>
      </c>
      <c r="M49" s="4" t="n">
        <v>599603.4</v>
      </c>
      <c r="N49" s="4" t="n">
        <v>112685.12</v>
      </c>
    </row>
    <row r="50" customFormat="false" ht="15" hidden="false" customHeight="true" outlineLevel="0" collapsed="false">
      <c r="A50" s="4" t="s">
        <v>34</v>
      </c>
      <c r="B50" s="5" t="n">
        <v>45717</v>
      </c>
      <c r="C50" s="4" t="s">
        <v>28</v>
      </c>
      <c r="D50" s="4" t="s">
        <v>17</v>
      </c>
      <c r="E50" s="4" t="n">
        <v>50043.65</v>
      </c>
      <c r="F50" s="4" t="n">
        <v>3804</v>
      </c>
      <c r="G50" s="4" t="n">
        <v>0.113</v>
      </c>
      <c r="H50" s="4" t="n">
        <v>11</v>
      </c>
      <c r="I50" s="4" t="n">
        <v>90.9</v>
      </c>
      <c r="J50" s="4" t="n">
        <v>2.7</v>
      </c>
      <c r="K50" s="4" t="n">
        <v>1</v>
      </c>
      <c r="L50" s="4" t="n">
        <v>3.2</v>
      </c>
      <c r="M50" s="4" t="n">
        <v>614800.09</v>
      </c>
      <c r="N50" s="4" t="n">
        <v>100044.2</v>
      </c>
    </row>
    <row r="51" customFormat="false" ht="15" hidden="false" customHeight="true" outlineLevel="0" collapsed="false">
      <c r="A51" s="4" t="s">
        <v>34</v>
      </c>
      <c r="B51" s="5" t="n">
        <v>45748</v>
      </c>
      <c r="C51" s="4" t="s">
        <v>28</v>
      </c>
      <c r="D51" s="4" t="s">
        <v>17</v>
      </c>
      <c r="E51" s="4" t="n">
        <v>42093.84</v>
      </c>
      <c r="F51" s="4" t="n">
        <v>4074</v>
      </c>
      <c r="G51" s="4" t="n">
        <v>0.155</v>
      </c>
      <c r="H51" s="4" t="n">
        <v>15</v>
      </c>
      <c r="I51" s="4" t="n">
        <v>88</v>
      </c>
      <c r="J51" s="4" t="n">
        <v>9.64</v>
      </c>
      <c r="K51" s="4" t="n">
        <v>0</v>
      </c>
      <c r="L51" s="4" t="n">
        <v>3.3</v>
      </c>
      <c r="M51" s="4" t="n">
        <v>585365.73</v>
      </c>
      <c r="N51" s="4" t="n">
        <v>81011.52</v>
      </c>
    </row>
    <row r="52" customFormat="false" ht="15" hidden="false" customHeight="true" outlineLevel="0" collapsed="false">
      <c r="A52" s="4" t="s">
        <v>35</v>
      </c>
      <c r="B52" s="5" t="n">
        <v>45658</v>
      </c>
      <c r="C52" s="4" t="s">
        <v>21</v>
      </c>
      <c r="D52" s="4" t="s">
        <v>29</v>
      </c>
      <c r="E52" s="4" t="n">
        <v>46624.05</v>
      </c>
      <c r="F52" s="4" t="n">
        <v>5104</v>
      </c>
      <c r="G52" s="4" t="n">
        <v>0.109</v>
      </c>
      <c r="H52" s="4" t="n">
        <v>11</v>
      </c>
      <c r="I52" s="4" t="n">
        <v>97.3</v>
      </c>
      <c r="J52" s="4" t="n">
        <v>3.49</v>
      </c>
      <c r="K52" s="4" t="n">
        <v>1</v>
      </c>
      <c r="L52" s="4" t="n">
        <v>4.7</v>
      </c>
      <c r="M52" s="4" t="n">
        <v>622811.74</v>
      </c>
      <c r="N52" s="4" t="n">
        <v>109978.35</v>
      </c>
    </row>
    <row r="53" customFormat="false" ht="15" hidden="false" customHeight="true" outlineLevel="0" collapsed="false">
      <c r="A53" s="4" t="s">
        <v>35</v>
      </c>
      <c r="B53" s="5" t="n">
        <v>45689</v>
      </c>
      <c r="C53" s="4" t="s">
        <v>21</v>
      </c>
      <c r="D53" s="4" t="s">
        <v>29</v>
      </c>
      <c r="E53" s="4" t="n">
        <v>49710.29</v>
      </c>
      <c r="F53" s="4" t="n">
        <v>5559</v>
      </c>
      <c r="G53" s="4" t="n">
        <v>0.218</v>
      </c>
      <c r="H53" s="4" t="n">
        <v>14</v>
      </c>
      <c r="I53" s="4" t="n">
        <v>71</v>
      </c>
      <c r="J53" s="4" t="n">
        <v>9.11</v>
      </c>
      <c r="K53" s="4" t="n">
        <v>0</v>
      </c>
      <c r="L53" s="4" t="n">
        <v>4.6</v>
      </c>
      <c r="M53" s="4" t="n">
        <v>603297.57</v>
      </c>
      <c r="N53" s="4" t="n">
        <v>60592.26</v>
      </c>
    </row>
    <row r="54" customFormat="false" ht="15" hidden="false" customHeight="true" outlineLevel="0" collapsed="false">
      <c r="A54" s="4" t="s">
        <v>35</v>
      </c>
      <c r="B54" s="5" t="n">
        <v>45717</v>
      </c>
      <c r="C54" s="4" t="s">
        <v>21</v>
      </c>
      <c r="D54" s="4" t="s">
        <v>29</v>
      </c>
      <c r="E54" s="4" t="n">
        <v>48287.85</v>
      </c>
      <c r="F54" s="4" t="n">
        <v>5150</v>
      </c>
      <c r="G54" s="4" t="n">
        <v>0.008</v>
      </c>
      <c r="H54" s="4" t="n">
        <v>12</v>
      </c>
      <c r="I54" s="4" t="n">
        <v>80.4</v>
      </c>
      <c r="J54" s="4" t="n">
        <v>7.4</v>
      </c>
      <c r="K54" s="4" t="n">
        <v>0</v>
      </c>
      <c r="L54" s="4" t="n">
        <v>4.5</v>
      </c>
      <c r="M54" s="4" t="n">
        <v>625672.86</v>
      </c>
      <c r="N54" s="4" t="n">
        <v>118020.12</v>
      </c>
    </row>
    <row r="55" customFormat="false" ht="15" hidden="false" customHeight="true" outlineLevel="0" collapsed="false">
      <c r="A55" s="4" t="s">
        <v>35</v>
      </c>
      <c r="B55" s="5" t="n">
        <v>45748</v>
      </c>
      <c r="C55" s="4" t="s">
        <v>21</v>
      </c>
      <c r="D55" s="4" t="s">
        <v>29</v>
      </c>
      <c r="E55" s="4" t="n">
        <v>65312.49</v>
      </c>
      <c r="F55" s="4" t="n">
        <v>7189</v>
      </c>
      <c r="G55" s="4" t="n">
        <v>0.05</v>
      </c>
      <c r="H55" s="4" t="n">
        <v>19</v>
      </c>
      <c r="I55" s="4" t="n">
        <v>93.7</v>
      </c>
      <c r="J55" s="4" t="n">
        <v>7.16</v>
      </c>
      <c r="K55" s="4" t="n">
        <v>0</v>
      </c>
      <c r="L55" s="4" t="n">
        <v>4.6</v>
      </c>
      <c r="M55" s="4" t="n">
        <v>773815.14</v>
      </c>
      <c r="N55" s="4" t="n">
        <v>133948.39</v>
      </c>
    </row>
    <row r="56" customFormat="false" ht="15" hidden="false" customHeight="true" outlineLevel="0" collapsed="false">
      <c r="A56" s="4" t="s">
        <v>36</v>
      </c>
      <c r="B56" s="5" t="n">
        <v>45658</v>
      </c>
      <c r="C56" s="4" t="s">
        <v>28</v>
      </c>
      <c r="D56" s="4" t="s">
        <v>19</v>
      </c>
      <c r="E56" s="4" t="n">
        <v>53015.46</v>
      </c>
      <c r="F56" s="4" t="n">
        <v>3279</v>
      </c>
      <c r="G56" s="4" t="n">
        <v>0.087</v>
      </c>
      <c r="H56" s="4" t="n">
        <v>9</v>
      </c>
      <c r="I56" s="4" t="n">
        <v>84.3</v>
      </c>
      <c r="J56" s="4" t="n">
        <v>22.02</v>
      </c>
      <c r="K56" s="4" t="n">
        <v>0</v>
      </c>
      <c r="L56" s="4" t="n">
        <v>3.9</v>
      </c>
      <c r="M56" s="4" t="n">
        <v>463534.25</v>
      </c>
      <c r="N56" s="4" t="n">
        <v>81834.54</v>
      </c>
    </row>
    <row r="57" customFormat="false" ht="15" hidden="false" customHeight="true" outlineLevel="0" collapsed="false">
      <c r="A57" s="4" t="s">
        <v>36</v>
      </c>
      <c r="B57" s="5" t="n">
        <v>45689</v>
      </c>
      <c r="C57" s="4" t="s">
        <v>28</v>
      </c>
      <c r="D57" s="4" t="s">
        <v>19</v>
      </c>
      <c r="E57" s="4" t="n">
        <v>99874.01</v>
      </c>
      <c r="F57" s="4" t="n">
        <v>5887</v>
      </c>
      <c r="G57" s="4" t="n">
        <v>0.262</v>
      </c>
      <c r="H57" s="4" t="n">
        <v>14</v>
      </c>
      <c r="I57" s="4" t="n">
        <v>88.7</v>
      </c>
      <c r="J57" s="4" t="n">
        <v>6.18</v>
      </c>
      <c r="K57" s="4" t="n">
        <v>0</v>
      </c>
      <c r="L57" s="4" t="n">
        <v>4.7</v>
      </c>
      <c r="M57" s="4" t="n">
        <v>746677.75</v>
      </c>
      <c r="N57" s="4" t="n">
        <v>122437.84</v>
      </c>
    </row>
    <row r="58" customFormat="false" ht="15" hidden="false" customHeight="true" outlineLevel="0" collapsed="false">
      <c r="A58" s="4" t="s">
        <v>36</v>
      </c>
      <c r="B58" s="5" t="n">
        <v>45717</v>
      </c>
      <c r="C58" s="4" t="s">
        <v>28</v>
      </c>
      <c r="D58" s="4" t="s">
        <v>19</v>
      </c>
      <c r="E58" s="4" t="n">
        <v>81195.5</v>
      </c>
      <c r="F58" s="4" t="n">
        <v>5516</v>
      </c>
      <c r="G58" s="4" t="n">
        <v>0.106</v>
      </c>
      <c r="H58" s="4" t="n">
        <v>14</v>
      </c>
      <c r="I58" s="4" t="n">
        <v>88</v>
      </c>
      <c r="J58" s="4" t="n">
        <v>1.76</v>
      </c>
      <c r="K58" s="4" t="n">
        <v>0</v>
      </c>
      <c r="L58" s="4" t="n">
        <v>4.3</v>
      </c>
      <c r="M58" s="4" t="n">
        <v>720852.5</v>
      </c>
      <c r="N58" s="4" t="n">
        <v>98565.62</v>
      </c>
    </row>
    <row r="59" customFormat="false" ht="15" hidden="false" customHeight="true" outlineLevel="0" collapsed="false">
      <c r="A59" s="4" t="s">
        <v>36</v>
      </c>
      <c r="B59" s="5" t="n">
        <v>45748</v>
      </c>
      <c r="C59" s="4" t="s">
        <v>28</v>
      </c>
      <c r="D59" s="4" t="s">
        <v>19</v>
      </c>
      <c r="E59" s="4" t="n">
        <v>27808.6</v>
      </c>
      <c r="F59" s="4" t="n">
        <v>2863</v>
      </c>
      <c r="G59" s="4" t="n">
        <v>0.08</v>
      </c>
      <c r="H59" s="4" t="n">
        <v>13</v>
      </c>
      <c r="I59" s="4" t="n">
        <v>89.3</v>
      </c>
      <c r="J59" s="4" t="n">
        <v>0.47</v>
      </c>
      <c r="K59" s="4" t="n">
        <v>0</v>
      </c>
      <c r="L59" s="4" t="n">
        <v>4.1</v>
      </c>
      <c r="M59" s="4" t="n">
        <v>487464.91</v>
      </c>
      <c r="N59" s="4" t="n">
        <v>64562.26</v>
      </c>
    </row>
    <row r="60" customFormat="false" ht="15" hidden="false" customHeight="true" outlineLevel="0" collapsed="false">
      <c r="A60" s="4" t="s">
        <v>37</v>
      </c>
      <c r="B60" s="5" t="n">
        <v>45658</v>
      </c>
      <c r="C60" s="4" t="s">
        <v>16</v>
      </c>
      <c r="D60" s="4" t="s">
        <v>22</v>
      </c>
      <c r="E60" s="4" t="n">
        <v>19365.06</v>
      </c>
      <c r="F60" s="4" t="n">
        <v>2378</v>
      </c>
      <c r="G60" s="4" t="n">
        <v>0</v>
      </c>
      <c r="H60" s="4" t="n">
        <v>12</v>
      </c>
      <c r="I60" s="4" t="n">
        <v>94.8</v>
      </c>
      <c r="J60" s="4" t="n">
        <v>0.2</v>
      </c>
      <c r="K60" s="4" t="n">
        <v>0</v>
      </c>
      <c r="L60" s="4" t="n">
        <v>3.5</v>
      </c>
      <c r="M60" s="4" t="n">
        <v>518049.26</v>
      </c>
      <c r="N60" s="4" t="n">
        <v>108592.49</v>
      </c>
    </row>
    <row r="61" customFormat="false" ht="15" hidden="false" customHeight="true" outlineLevel="0" collapsed="false">
      <c r="A61" s="4" t="s">
        <v>37</v>
      </c>
      <c r="B61" s="5" t="n">
        <v>45689</v>
      </c>
      <c r="C61" s="4" t="s">
        <v>16</v>
      </c>
      <c r="D61" s="4" t="s">
        <v>22</v>
      </c>
      <c r="E61" s="4" t="n">
        <v>59405.68</v>
      </c>
      <c r="F61" s="4" t="n">
        <v>2515</v>
      </c>
      <c r="G61" s="4" t="n">
        <v>0.039</v>
      </c>
      <c r="H61" s="4" t="n">
        <v>12</v>
      </c>
      <c r="I61" s="4" t="n">
        <v>76</v>
      </c>
      <c r="J61" s="4" t="n">
        <v>5.11</v>
      </c>
      <c r="K61" s="4" t="n">
        <v>0</v>
      </c>
      <c r="L61" s="4" t="n">
        <v>3.7</v>
      </c>
      <c r="M61" s="4" t="n">
        <v>500298.48</v>
      </c>
      <c r="N61" s="4" t="n">
        <v>73461.32</v>
      </c>
    </row>
    <row r="62" customFormat="false" ht="15" hidden="false" customHeight="true" outlineLevel="0" collapsed="false">
      <c r="A62" s="4" t="s">
        <v>37</v>
      </c>
      <c r="B62" s="5" t="n">
        <v>45717</v>
      </c>
      <c r="C62" s="4" t="s">
        <v>16</v>
      </c>
      <c r="D62" s="4" t="s">
        <v>22</v>
      </c>
      <c r="E62" s="4" t="n">
        <v>118910.48</v>
      </c>
      <c r="F62" s="4" t="n">
        <v>4022</v>
      </c>
      <c r="G62" s="4" t="n">
        <v>0.137</v>
      </c>
      <c r="H62" s="4" t="n">
        <v>11</v>
      </c>
      <c r="I62" s="4" t="n">
        <v>87.1</v>
      </c>
      <c r="J62" s="4" t="n">
        <v>0.2</v>
      </c>
      <c r="K62" s="4" t="n">
        <v>0</v>
      </c>
      <c r="L62" s="4" t="n">
        <v>3.1</v>
      </c>
      <c r="M62" s="4" t="n">
        <v>617291.15</v>
      </c>
      <c r="N62" s="4" t="n">
        <v>117782</v>
      </c>
    </row>
    <row r="63" customFormat="false" ht="15" hidden="false" customHeight="true" outlineLevel="0" collapsed="false">
      <c r="A63" s="4" t="s">
        <v>37</v>
      </c>
      <c r="B63" s="5" t="n">
        <v>45748</v>
      </c>
      <c r="C63" s="4" t="s">
        <v>16</v>
      </c>
      <c r="D63" s="4" t="s">
        <v>22</v>
      </c>
      <c r="E63" s="4" t="n">
        <v>52952.12</v>
      </c>
      <c r="F63" s="4" t="n">
        <v>4377</v>
      </c>
      <c r="G63" s="4" t="n">
        <v>0.092</v>
      </c>
      <c r="H63" s="4" t="n">
        <v>14</v>
      </c>
      <c r="I63" s="4" t="n">
        <v>88.6</v>
      </c>
      <c r="J63" s="4" t="n">
        <v>13.59</v>
      </c>
      <c r="K63" s="4" t="n">
        <v>0</v>
      </c>
      <c r="L63" s="4" t="n">
        <v>3.1</v>
      </c>
      <c r="M63" s="4" t="n">
        <v>553756.43</v>
      </c>
      <c r="N63" s="4" t="n">
        <v>86166.77</v>
      </c>
    </row>
    <row r="64" customFormat="false" ht="15" hidden="false" customHeight="true" outlineLevel="0" collapsed="false">
      <c r="A64" s="4" t="s">
        <v>38</v>
      </c>
      <c r="B64" s="5" t="n">
        <v>45658</v>
      </c>
      <c r="C64" s="4" t="s">
        <v>25</v>
      </c>
      <c r="D64" s="4" t="s">
        <v>19</v>
      </c>
      <c r="E64" s="4" t="n">
        <v>74907.98</v>
      </c>
      <c r="F64" s="4" t="n">
        <v>5306</v>
      </c>
      <c r="G64" s="4" t="n">
        <v>0.062</v>
      </c>
      <c r="H64" s="4" t="n">
        <v>16</v>
      </c>
      <c r="I64" s="4" t="n">
        <v>95.6</v>
      </c>
      <c r="J64" s="4" t="n">
        <v>1.02</v>
      </c>
      <c r="K64" s="4" t="n">
        <v>0</v>
      </c>
      <c r="L64" s="4" t="n">
        <v>3.7</v>
      </c>
      <c r="M64" s="4" t="n">
        <v>749559.71</v>
      </c>
      <c r="N64" s="4" t="n">
        <v>144522.53</v>
      </c>
    </row>
    <row r="65" customFormat="false" ht="15" hidden="false" customHeight="true" outlineLevel="0" collapsed="false">
      <c r="A65" s="4" t="s">
        <v>38</v>
      </c>
      <c r="B65" s="5" t="n">
        <v>45689</v>
      </c>
      <c r="C65" s="4" t="s">
        <v>25</v>
      </c>
      <c r="D65" s="4" t="s">
        <v>19</v>
      </c>
      <c r="E65" s="4" t="n">
        <v>37284.66</v>
      </c>
      <c r="F65" s="4" t="n">
        <v>3928</v>
      </c>
      <c r="G65" s="4" t="n">
        <v>0.074</v>
      </c>
      <c r="H65" s="4" t="n">
        <v>12</v>
      </c>
      <c r="I65" s="4" t="n">
        <v>86.5</v>
      </c>
      <c r="J65" s="4" t="n">
        <v>1.64</v>
      </c>
      <c r="K65" s="4" t="n">
        <v>0</v>
      </c>
      <c r="L65" s="4" t="n">
        <v>3.8</v>
      </c>
      <c r="M65" s="4" t="n">
        <v>615966.48</v>
      </c>
      <c r="N65" s="4" t="n">
        <v>91509.38</v>
      </c>
    </row>
    <row r="66" customFormat="false" ht="15" hidden="false" customHeight="true" outlineLevel="0" collapsed="false">
      <c r="A66" s="4" t="s">
        <v>38</v>
      </c>
      <c r="B66" s="5" t="n">
        <v>45717</v>
      </c>
      <c r="C66" s="4" t="s">
        <v>25</v>
      </c>
      <c r="D66" s="4" t="s">
        <v>19</v>
      </c>
      <c r="E66" s="4" t="n">
        <v>50343.19</v>
      </c>
      <c r="F66" s="4" t="n">
        <v>3845</v>
      </c>
      <c r="G66" s="4" t="n">
        <v>0.113</v>
      </c>
      <c r="H66" s="4" t="n">
        <v>9</v>
      </c>
      <c r="I66" s="4" t="n">
        <v>88.7</v>
      </c>
      <c r="J66" s="4" t="n">
        <v>5.15</v>
      </c>
      <c r="K66" s="4" t="n">
        <v>0</v>
      </c>
      <c r="L66" s="4" t="n">
        <v>3.3</v>
      </c>
      <c r="M66" s="4" t="n">
        <v>572011.2</v>
      </c>
      <c r="N66" s="4" t="n">
        <v>101409.68</v>
      </c>
    </row>
    <row r="67" customFormat="false" ht="15" hidden="false" customHeight="true" outlineLevel="0" collapsed="false">
      <c r="A67" s="4" t="s">
        <v>38</v>
      </c>
      <c r="B67" s="5" t="n">
        <v>45748</v>
      </c>
      <c r="C67" s="4" t="s">
        <v>25</v>
      </c>
      <c r="D67" s="4" t="s">
        <v>19</v>
      </c>
      <c r="E67" s="4" t="n">
        <v>74954.47</v>
      </c>
      <c r="F67" s="4" t="n">
        <v>6620</v>
      </c>
      <c r="G67" s="4" t="n">
        <v>0.054</v>
      </c>
      <c r="H67" s="4" t="n">
        <v>17</v>
      </c>
      <c r="I67" s="4" t="n">
        <v>91.1</v>
      </c>
      <c r="J67" s="4" t="n">
        <v>1.11</v>
      </c>
      <c r="K67" s="4" t="n">
        <v>0</v>
      </c>
      <c r="L67" s="4" t="n">
        <v>3.5</v>
      </c>
      <c r="M67" s="4" t="n">
        <v>761860.19</v>
      </c>
      <c r="N67" s="4" t="n">
        <v>133279.38</v>
      </c>
    </row>
    <row r="68" customFormat="false" ht="15" hidden="false" customHeight="true" outlineLevel="0" collapsed="false">
      <c r="A68" s="4" t="s">
        <v>39</v>
      </c>
      <c r="B68" s="5" t="n">
        <v>45658</v>
      </c>
      <c r="C68" s="4" t="s">
        <v>28</v>
      </c>
      <c r="D68" s="4" t="s">
        <v>19</v>
      </c>
      <c r="E68" s="4" t="n">
        <v>70040.31</v>
      </c>
      <c r="F68" s="4" t="n">
        <v>9175</v>
      </c>
      <c r="G68" s="4" t="n">
        <v>0.107</v>
      </c>
      <c r="H68" s="4" t="n">
        <v>23</v>
      </c>
      <c r="I68" s="4" t="n">
        <v>95.1</v>
      </c>
      <c r="J68" s="4" t="n">
        <v>6.08</v>
      </c>
      <c r="K68" s="4" t="n">
        <v>1</v>
      </c>
      <c r="L68" s="4" t="n">
        <v>3.4</v>
      </c>
      <c r="M68" s="4" t="n">
        <v>784502.68</v>
      </c>
      <c r="N68" s="4" t="n">
        <v>129519.72</v>
      </c>
    </row>
    <row r="69" customFormat="false" ht="15" hidden="false" customHeight="true" outlineLevel="0" collapsed="false">
      <c r="A69" s="4" t="s">
        <v>39</v>
      </c>
      <c r="B69" s="5" t="n">
        <v>45689</v>
      </c>
      <c r="C69" s="4" t="s">
        <v>28</v>
      </c>
      <c r="D69" s="4" t="s">
        <v>19</v>
      </c>
      <c r="E69" s="4" t="n">
        <v>51148.69</v>
      </c>
      <c r="F69" s="4" t="n">
        <v>7940</v>
      </c>
      <c r="G69" s="4" t="n">
        <v>0.156</v>
      </c>
      <c r="H69" s="4" t="n">
        <v>18</v>
      </c>
      <c r="I69" s="4" t="n">
        <v>93.3</v>
      </c>
      <c r="J69" s="4" t="n">
        <v>10.91</v>
      </c>
      <c r="K69" s="4" t="n">
        <v>0</v>
      </c>
      <c r="L69" s="4" t="n">
        <v>3.6</v>
      </c>
      <c r="M69" s="4" t="n">
        <v>717141.55</v>
      </c>
      <c r="N69" s="4" t="n">
        <v>134013.61</v>
      </c>
    </row>
    <row r="70" customFormat="false" ht="15" hidden="false" customHeight="true" outlineLevel="0" collapsed="false">
      <c r="A70" s="4" t="s">
        <v>39</v>
      </c>
      <c r="B70" s="5" t="n">
        <v>45717</v>
      </c>
      <c r="C70" s="4" t="s">
        <v>28</v>
      </c>
      <c r="D70" s="4" t="s">
        <v>19</v>
      </c>
      <c r="E70" s="4" t="n">
        <v>79346.1</v>
      </c>
      <c r="F70" s="4" t="n">
        <v>9628</v>
      </c>
      <c r="G70" s="4" t="n">
        <v>0.102</v>
      </c>
      <c r="H70" s="4" t="n">
        <v>20</v>
      </c>
      <c r="I70" s="4" t="n">
        <v>99</v>
      </c>
      <c r="J70" s="4" t="n">
        <v>19.01</v>
      </c>
      <c r="K70" s="4" t="n">
        <v>1</v>
      </c>
      <c r="L70" s="4" t="n">
        <v>3.2</v>
      </c>
      <c r="M70" s="4" t="n">
        <v>685379.08</v>
      </c>
      <c r="N70" s="4" t="n">
        <v>106898.82</v>
      </c>
    </row>
    <row r="71" customFormat="false" ht="15" hidden="false" customHeight="true" outlineLevel="0" collapsed="false">
      <c r="A71" s="4" t="s">
        <v>39</v>
      </c>
      <c r="B71" s="5" t="n">
        <v>45748</v>
      </c>
      <c r="C71" s="4" t="s">
        <v>28</v>
      </c>
      <c r="D71" s="4" t="s">
        <v>19</v>
      </c>
      <c r="E71" s="4" t="n">
        <v>42018.4</v>
      </c>
      <c r="F71" s="4" t="n">
        <v>8296</v>
      </c>
      <c r="G71" s="4" t="n">
        <v>0.115</v>
      </c>
      <c r="H71" s="4" t="n">
        <v>17</v>
      </c>
      <c r="I71" s="4" t="n">
        <v>91.8</v>
      </c>
      <c r="J71" s="4" t="n">
        <v>0.77</v>
      </c>
      <c r="K71" s="4" t="n">
        <v>0</v>
      </c>
      <c r="L71" s="4" t="n">
        <v>3.4</v>
      </c>
      <c r="M71" s="4" t="n">
        <v>740496.65</v>
      </c>
      <c r="N71" s="4" t="n">
        <v>128020.9</v>
      </c>
    </row>
    <row r="72" customFormat="false" ht="15" hidden="false" customHeight="true" outlineLevel="0" collapsed="false">
      <c r="A72" s="4" t="s">
        <v>40</v>
      </c>
      <c r="B72" s="5" t="n">
        <v>45658</v>
      </c>
      <c r="C72" s="4" t="s">
        <v>16</v>
      </c>
      <c r="D72" s="4" t="s">
        <v>19</v>
      </c>
      <c r="E72" s="4" t="n">
        <v>70937.24</v>
      </c>
      <c r="F72" s="4" t="n">
        <v>3595</v>
      </c>
      <c r="G72" s="4" t="n">
        <v>0.141</v>
      </c>
      <c r="H72" s="4" t="n">
        <v>11</v>
      </c>
      <c r="I72" s="4" t="n">
        <v>88.9</v>
      </c>
      <c r="J72" s="4" t="n">
        <v>2.83</v>
      </c>
      <c r="K72" s="4" t="n">
        <v>1</v>
      </c>
      <c r="L72" s="4" t="n">
        <v>3.3</v>
      </c>
      <c r="M72" s="4" t="n">
        <v>661927.14</v>
      </c>
      <c r="N72" s="4" t="n">
        <v>79218.57</v>
      </c>
    </row>
    <row r="73" customFormat="false" ht="15" hidden="false" customHeight="true" outlineLevel="0" collapsed="false">
      <c r="A73" s="4" t="s">
        <v>40</v>
      </c>
      <c r="B73" s="5" t="n">
        <v>45689</v>
      </c>
      <c r="C73" s="4" t="s">
        <v>16</v>
      </c>
      <c r="D73" s="4" t="s">
        <v>19</v>
      </c>
      <c r="E73" s="4" t="n">
        <v>36813.45</v>
      </c>
      <c r="F73" s="4" t="n">
        <v>2834</v>
      </c>
      <c r="G73" s="4" t="n">
        <v>0.191</v>
      </c>
      <c r="H73" s="4" t="n">
        <v>11</v>
      </c>
      <c r="I73" s="4" t="n">
        <v>81.8</v>
      </c>
      <c r="J73" s="4" t="n">
        <v>2.33</v>
      </c>
      <c r="K73" s="4" t="n">
        <v>0</v>
      </c>
      <c r="L73" s="4" t="n">
        <v>3.3</v>
      </c>
      <c r="M73" s="4" t="n">
        <v>479050.5</v>
      </c>
      <c r="N73" s="4" t="n">
        <v>53651.11</v>
      </c>
    </row>
    <row r="74" customFormat="false" ht="15" hidden="false" customHeight="true" outlineLevel="0" collapsed="false">
      <c r="A74" s="4" t="s">
        <v>40</v>
      </c>
      <c r="B74" s="5" t="n">
        <v>45717</v>
      </c>
      <c r="C74" s="4" t="s">
        <v>16</v>
      </c>
      <c r="D74" s="4" t="s">
        <v>19</v>
      </c>
      <c r="E74" s="4" t="n">
        <v>60571.82</v>
      </c>
      <c r="F74" s="4" t="n">
        <v>3193</v>
      </c>
      <c r="G74" s="4" t="n">
        <v>0.197</v>
      </c>
      <c r="H74" s="4" t="n">
        <v>7</v>
      </c>
      <c r="I74" s="4" t="n">
        <v>99</v>
      </c>
      <c r="J74" s="4" t="n">
        <v>1.43</v>
      </c>
      <c r="K74" s="4" t="n">
        <v>0</v>
      </c>
      <c r="L74" s="4" t="n">
        <v>3.2</v>
      </c>
      <c r="M74" s="4" t="n">
        <v>605023.87</v>
      </c>
      <c r="N74" s="4" t="n">
        <v>98545.81</v>
      </c>
    </row>
    <row r="75" customFormat="false" ht="15" hidden="false" customHeight="true" outlineLevel="0" collapsed="false">
      <c r="A75" s="4" t="s">
        <v>41</v>
      </c>
      <c r="B75" s="5" t="n">
        <v>45658</v>
      </c>
      <c r="C75" s="4" t="s">
        <v>16</v>
      </c>
      <c r="D75" s="4" t="s">
        <v>17</v>
      </c>
      <c r="E75" s="4" t="n">
        <v>46201.46</v>
      </c>
      <c r="F75" s="4" t="n">
        <v>5918</v>
      </c>
      <c r="G75" s="4" t="n">
        <v>0.277</v>
      </c>
      <c r="H75" s="4" t="n">
        <v>13</v>
      </c>
      <c r="I75" s="4" t="n">
        <v>78.8</v>
      </c>
      <c r="J75" s="4" t="n">
        <v>4.91</v>
      </c>
      <c r="K75" s="4" t="n">
        <v>0</v>
      </c>
      <c r="L75" s="4" t="n">
        <v>4.5</v>
      </c>
      <c r="M75" s="4" t="n">
        <v>616069.41</v>
      </c>
      <c r="N75" s="4" t="n">
        <v>54453.99</v>
      </c>
    </row>
    <row r="76" customFormat="false" ht="15" hidden="false" customHeight="true" outlineLevel="0" collapsed="false">
      <c r="A76" s="4" t="s">
        <v>41</v>
      </c>
      <c r="B76" s="5" t="n">
        <v>45689</v>
      </c>
      <c r="C76" s="4" t="s">
        <v>16</v>
      </c>
      <c r="D76" s="4" t="s">
        <v>17</v>
      </c>
      <c r="E76" s="4" t="n">
        <v>53762.92</v>
      </c>
      <c r="F76" s="4" t="n">
        <v>6821</v>
      </c>
      <c r="G76" s="4" t="n">
        <v>0.066</v>
      </c>
      <c r="H76" s="4" t="n">
        <v>19</v>
      </c>
      <c r="I76" s="4" t="n">
        <v>94.6</v>
      </c>
      <c r="J76" s="4" t="n">
        <v>7.03</v>
      </c>
      <c r="K76" s="4" t="n">
        <v>0</v>
      </c>
      <c r="L76" s="4" t="n">
        <v>4.4</v>
      </c>
      <c r="M76" s="4" t="n">
        <v>630829.94</v>
      </c>
      <c r="N76" s="4" t="n">
        <v>117090.02</v>
      </c>
    </row>
    <row r="77" customFormat="false" ht="15" hidden="false" customHeight="true" outlineLevel="0" collapsed="false">
      <c r="A77" s="4" t="s">
        <v>41</v>
      </c>
      <c r="B77" s="5" t="n">
        <v>45717</v>
      </c>
      <c r="C77" s="4" t="s">
        <v>16</v>
      </c>
      <c r="D77" s="4" t="s">
        <v>17</v>
      </c>
      <c r="E77" s="4" t="n">
        <v>70144.78</v>
      </c>
      <c r="F77" s="4" t="n">
        <v>6806</v>
      </c>
      <c r="G77" s="4" t="n">
        <v>0.178</v>
      </c>
      <c r="H77" s="4" t="n">
        <v>20</v>
      </c>
      <c r="I77" s="4" t="n">
        <v>93.1</v>
      </c>
      <c r="J77" s="4" t="n">
        <v>0.28</v>
      </c>
      <c r="K77" s="4" t="n">
        <v>1</v>
      </c>
      <c r="L77" s="4" t="n">
        <v>4.3</v>
      </c>
      <c r="M77" s="4" t="n">
        <v>788087.68</v>
      </c>
      <c r="N77" s="4" t="n">
        <v>116803.42</v>
      </c>
    </row>
    <row r="78" customFormat="false" ht="15" hidden="false" customHeight="true" outlineLevel="0" collapsed="false">
      <c r="A78" s="4" t="s">
        <v>41</v>
      </c>
      <c r="B78" s="5" t="n">
        <v>45748</v>
      </c>
      <c r="C78" s="4" t="s">
        <v>16</v>
      </c>
      <c r="D78" s="4" t="s">
        <v>17</v>
      </c>
      <c r="E78" s="4" t="n">
        <v>58749.63</v>
      </c>
      <c r="F78" s="4" t="n">
        <v>8252</v>
      </c>
      <c r="G78" s="4" t="n">
        <v>0.203</v>
      </c>
      <c r="H78" s="4" t="n">
        <v>20</v>
      </c>
      <c r="I78" s="4" t="n">
        <v>85.2</v>
      </c>
      <c r="J78" s="4" t="n">
        <v>3.61</v>
      </c>
      <c r="K78" s="4" t="n">
        <v>0</v>
      </c>
      <c r="L78" s="4" t="n">
        <v>4.5</v>
      </c>
      <c r="M78" s="4" t="n">
        <v>680840.36</v>
      </c>
      <c r="N78" s="4" t="n">
        <v>68007.68</v>
      </c>
    </row>
    <row r="79" customFormat="false" ht="15" hidden="false" customHeight="true" outlineLevel="0" collapsed="false">
      <c r="A79" s="4" t="s">
        <v>42</v>
      </c>
      <c r="B79" s="5" t="n">
        <v>45658</v>
      </c>
      <c r="C79" s="4" t="s">
        <v>25</v>
      </c>
      <c r="D79" s="4" t="s">
        <v>19</v>
      </c>
      <c r="E79" s="4" t="n">
        <v>56973.18</v>
      </c>
      <c r="F79" s="4" t="n">
        <v>6662</v>
      </c>
      <c r="G79" s="4" t="n">
        <v>0.1</v>
      </c>
      <c r="H79" s="4" t="n">
        <v>15</v>
      </c>
      <c r="I79" s="4" t="n">
        <v>77.7</v>
      </c>
      <c r="J79" s="4" t="n">
        <v>7.52</v>
      </c>
      <c r="K79" s="4" t="n">
        <v>1</v>
      </c>
      <c r="L79" s="4" t="n">
        <v>3.2</v>
      </c>
      <c r="M79" s="4" t="n">
        <v>643657.47</v>
      </c>
      <c r="N79" s="4" t="n">
        <v>87022.45</v>
      </c>
    </row>
    <row r="80" customFormat="false" ht="15" hidden="false" customHeight="true" outlineLevel="0" collapsed="false">
      <c r="A80" s="4" t="s">
        <v>42</v>
      </c>
      <c r="B80" s="5" t="n">
        <v>45689</v>
      </c>
      <c r="C80" s="4" t="s">
        <v>25</v>
      </c>
      <c r="D80" s="4" t="s">
        <v>19</v>
      </c>
      <c r="E80" s="4" t="n">
        <v>54872.82</v>
      </c>
      <c r="F80" s="4" t="n">
        <v>5962</v>
      </c>
      <c r="G80" s="4" t="n">
        <v>0.064</v>
      </c>
      <c r="H80" s="4" t="n">
        <v>12</v>
      </c>
      <c r="I80" s="4" t="n">
        <v>85.4</v>
      </c>
      <c r="J80" s="4" t="n">
        <v>2.58</v>
      </c>
      <c r="K80" s="4" t="n">
        <v>0</v>
      </c>
      <c r="L80" s="4" t="n">
        <v>2.9</v>
      </c>
      <c r="M80" s="4" t="n">
        <v>691112.6</v>
      </c>
      <c r="N80" s="4" t="n">
        <v>109212.83</v>
      </c>
    </row>
    <row r="81" customFormat="false" ht="15" hidden="false" customHeight="true" outlineLevel="0" collapsed="false">
      <c r="A81" s="4" t="s">
        <v>42</v>
      </c>
      <c r="B81" s="5" t="n">
        <v>45717</v>
      </c>
      <c r="C81" s="4" t="s">
        <v>25</v>
      </c>
      <c r="D81" s="4" t="s">
        <v>19</v>
      </c>
      <c r="E81" s="4" t="n">
        <v>80562.81</v>
      </c>
      <c r="F81" s="4" t="n">
        <v>7470</v>
      </c>
      <c r="G81" s="4" t="n">
        <v>0.172</v>
      </c>
      <c r="H81" s="4" t="n">
        <v>16</v>
      </c>
      <c r="I81" s="4" t="n">
        <v>83.5</v>
      </c>
      <c r="J81" s="4" t="n">
        <v>2.29</v>
      </c>
      <c r="K81" s="4" t="n">
        <v>0</v>
      </c>
      <c r="L81" s="4" t="n">
        <v>3.3</v>
      </c>
      <c r="M81" s="4" t="n">
        <v>776922.17</v>
      </c>
      <c r="N81" s="4" t="n">
        <v>150701.93</v>
      </c>
    </row>
    <row r="82" customFormat="false" ht="15" hidden="false" customHeight="true" outlineLevel="0" collapsed="false">
      <c r="A82" s="4" t="s">
        <v>42</v>
      </c>
      <c r="B82" s="5" t="n">
        <v>45748</v>
      </c>
      <c r="C82" s="4" t="s">
        <v>25</v>
      </c>
      <c r="D82" s="4" t="s">
        <v>19</v>
      </c>
      <c r="E82" s="4" t="n">
        <v>77999.9</v>
      </c>
      <c r="F82" s="4" t="n">
        <v>5974</v>
      </c>
      <c r="G82" s="4" t="n">
        <v>0.252</v>
      </c>
      <c r="H82" s="4" t="n">
        <v>14</v>
      </c>
      <c r="I82" s="4" t="n">
        <v>81.3</v>
      </c>
      <c r="J82" s="4" t="n">
        <v>2.39</v>
      </c>
      <c r="K82" s="4" t="n">
        <v>0</v>
      </c>
      <c r="L82" s="4" t="n">
        <v>3.2</v>
      </c>
      <c r="M82" s="4" t="n">
        <v>636561.34</v>
      </c>
      <c r="N82" s="4" t="n">
        <v>93861.06</v>
      </c>
    </row>
    <row r="83" customFormat="false" ht="15" hidden="false" customHeight="true" outlineLevel="0" collapsed="false">
      <c r="A83" s="4" t="s">
        <v>43</v>
      </c>
      <c r="B83" s="5" t="n">
        <v>45658</v>
      </c>
      <c r="C83" s="4" t="s">
        <v>28</v>
      </c>
      <c r="D83" s="4" t="s">
        <v>29</v>
      </c>
      <c r="E83" s="4" t="n">
        <v>60881.01</v>
      </c>
      <c r="F83" s="4" t="n">
        <v>5410</v>
      </c>
      <c r="G83" s="4" t="n">
        <v>0.179</v>
      </c>
      <c r="H83" s="4" t="n">
        <v>15</v>
      </c>
      <c r="I83" s="4" t="n">
        <v>83.9</v>
      </c>
      <c r="J83" s="4" t="n">
        <v>5.24</v>
      </c>
      <c r="K83" s="4" t="n">
        <v>0</v>
      </c>
      <c r="L83" s="4" t="n">
        <v>4.6</v>
      </c>
      <c r="M83" s="4" t="n">
        <v>621369.58</v>
      </c>
      <c r="N83" s="4" t="n">
        <v>85493.64</v>
      </c>
    </row>
    <row r="84" customFormat="false" ht="15" hidden="false" customHeight="true" outlineLevel="0" collapsed="false">
      <c r="A84" s="4" t="s">
        <v>43</v>
      </c>
      <c r="B84" s="5" t="n">
        <v>45689</v>
      </c>
      <c r="C84" s="4" t="s">
        <v>28</v>
      </c>
      <c r="D84" s="4" t="s">
        <v>29</v>
      </c>
      <c r="E84" s="4" t="n">
        <v>60628.38</v>
      </c>
      <c r="F84" s="4" t="n">
        <v>4451</v>
      </c>
      <c r="G84" s="4" t="n">
        <v>0.095</v>
      </c>
      <c r="H84" s="4" t="n">
        <v>10</v>
      </c>
      <c r="I84" s="4" t="n">
        <v>89.6</v>
      </c>
      <c r="J84" s="4" t="n">
        <v>3.17</v>
      </c>
      <c r="K84" s="4" t="n">
        <v>0</v>
      </c>
      <c r="L84" s="4" t="n">
        <v>4.6</v>
      </c>
      <c r="M84" s="4" t="n">
        <v>682208.01</v>
      </c>
      <c r="N84" s="4" t="n">
        <v>110318.84</v>
      </c>
    </row>
    <row r="85" customFormat="false" ht="15" hidden="false" customHeight="true" outlineLevel="0" collapsed="false">
      <c r="A85" s="4" t="s">
        <v>43</v>
      </c>
      <c r="B85" s="5" t="n">
        <v>45717</v>
      </c>
      <c r="C85" s="4" t="s">
        <v>28</v>
      </c>
      <c r="D85" s="4" t="s">
        <v>29</v>
      </c>
      <c r="E85" s="4" t="n">
        <v>72731.14</v>
      </c>
      <c r="F85" s="4" t="n">
        <v>4644</v>
      </c>
      <c r="G85" s="4" t="n">
        <v>0.084</v>
      </c>
      <c r="H85" s="4" t="n">
        <v>15</v>
      </c>
      <c r="I85" s="4" t="n">
        <v>87.1</v>
      </c>
      <c r="J85" s="4" t="n">
        <v>2.66</v>
      </c>
      <c r="K85" s="4" t="n">
        <v>0</v>
      </c>
      <c r="L85" s="4" t="n">
        <v>4.6</v>
      </c>
      <c r="M85" s="4" t="n">
        <v>727241.86</v>
      </c>
      <c r="N85" s="4" t="n">
        <v>155810.3</v>
      </c>
    </row>
    <row r="86" customFormat="false" ht="15" hidden="false" customHeight="true" outlineLevel="0" collapsed="false">
      <c r="A86" s="4" t="s">
        <v>43</v>
      </c>
      <c r="B86" s="5" t="n">
        <v>45748</v>
      </c>
      <c r="C86" s="4" t="s">
        <v>28</v>
      </c>
      <c r="D86" s="4" t="s">
        <v>29</v>
      </c>
      <c r="E86" s="4" t="n">
        <v>36475.71</v>
      </c>
      <c r="F86" s="4" t="n">
        <v>3559</v>
      </c>
      <c r="G86" s="4" t="n">
        <v>0.03</v>
      </c>
      <c r="H86" s="4" t="n">
        <v>8</v>
      </c>
      <c r="I86" s="4" t="n">
        <v>83.6</v>
      </c>
      <c r="J86" s="4" t="n">
        <v>1.41</v>
      </c>
      <c r="K86" s="4" t="n">
        <v>0</v>
      </c>
      <c r="L86" s="4" t="n">
        <v>4.2</v>
      </c>
      <c r="M86" s="4" t="n">
        <v>569100.78</v>
      </c>
      <c r="N86" s="4" t="n">
        <v>104808.78</v>
      </c>
    </row>
    <row r="87" customFormat="false" ht="15" hidden="false" customHeight="true" outlineLevel="0" collapsed="false">
      <c r="A87" s="4" t="s">
        <v>44</v>
      </c>
      <c r="B87" s="5" t="n">
        <v>45658</v>
      </c>
      <c r="C87" s="4" t="s">
        <v>28</v>
      </c>
      <c r="D87" s="4" t="s">
        <v>19</v>
      </c>
      <c r="E87" s="4" t="n">
        <v>55388.11</v>
      </c>
      <c r="F87" s="4" t="n">
        <v>3091</v>
      </c>
      <c r="G87" s="4" t="n">
        <v>0.108</v>
      </c>
      <c r="H87" s="4" t="n">
        <v>7</v>
      </c>
      <c r="I87" s="4" t="n">
        <v>85.4</v>
      </c>
      <c r="J87" s="4" t="n">
        <v>7.34</v>
      </c>
      <c r="K87" s="4" t="n">
        <v>0</v>
      </c>
      <c r="L87" s="4" t="n">
        <v>4.9</v>
      </c>
      <c r="M87" s="4" t="n">
        <v>574436.29</v>
      </c>
      <c r="N87" s="4" t="n">
        <v>80271.99</v>
      </c>
    </row>
    <row r="88" customFormat="false" ht="15" hidden="false" customHeight="true" outlineLevel="0" collapsed="false">
      <c r="A88" s="4" t="s">
        <v>44</v>
      </c>
      <c r="B88" s="5" t="n">
        <v>45717</v>
      </c>
      <c r="C88" s="4" t="s">
        <v>28</v>
      </c>
      <c r="D88" s="4" t="s">
        <v>19</v>
      </c>
      <c r="E88" s="4" t="n">
        <v>78231.91</v>
      </c>
      <c r="F88" s="4" t="n">
        <v>3788</v>
      </c>
      <c r="G88" s="4" t="n">
        <v>0.059</v>
      </c>
      <c r="H88" s="4" t="n">
        <v>11</v>
      </c>
      <c r="I88" s="4" t="n">
        <v>88.5</v>
      </c>
      <c r="J88" s="4" t="n">
        <v>15.51</v>
      </c>
      <c r="K88" s="4" t="n">
        <v>0</v>
      </c>
      <c r="L88" s="4" t="n">
        <v>4.3</v>
      </c>
      <c r="M88" s="4" t="n">
        <v>614596.32</v>
      </c>
      <c r="N88" s="4" t="n">
        <v>131199.41</v>
      </c>
    </row>
    <row r="89" customFormat="false" ht="15" hidden="false" customHeight="true" outlineLevel="0" collapsed="false">
      <c r="A89" s="4" t="s">
        <v>44</v>
      </c>
      <c r="B89" s="5" t="n">
        <v>45748</v>
      </c>
      <c r="C89" s="4" t="s">
        <v>28</v>
      </c>
      <c r="D89" s="4" t="s">
        <v>19</v>
      </c>
      <c r="E89" s="4" t="n">
        <v>18996.32</v>
      </c>
      <c r="F89" s="4" t="n">
        <v>1260</v>
      </c>
      <c r="G89" s="4" t="n">
        <v>0.145</v>
      </c>
      <c r="H89" s="4" t="n">
        <v>9</v>
      </c>
      <c r="I89" s="4" t="n">
        <v>86.4</v>
      </c>
      <c r="J89" s="4" t="n">
        <v>4.31</v>
      </c>
      <c r="K89" s="4" t="n">
        <v>0</v>
      </c>
      <c r="L89" s="4" t="n">
        <v>4.6</v>
      </c>
      <c r="M89" s="4" t="n">
        <v>450711.92</v>
      </c>
      <c r="N89" s="4" t="n">
        <v>90043.76</v>
      </c>
    </row>
    <row r="90" customFormat="false" ht="15" hidden="false" customHeight="true" outlineLevel="0" collapsed="false">
      <c r="A90" s="4" t="s">
        <v>45</v>
      </c>
      <c r="B90" s="5" t="n">
        <v>45658</v>
      </c>
      <c r="C90" s="4" t="s">
        <v>25</v>
      </c>
      <c r="D90" s="4" t="s">
        <v>29</v>
      </c>
      <c r="E90" s="4" t="n">
        <v>50517.94</v>
      </c>
      <c r="F90" s="4" t="n">
        <v>7024</v>
      </c>
      <c r="G90" s="4" t="n">
        <v>0.029</v>
      </c>
      <c r="H90" s="4" t="n">
        <v>18</v>
      </c>
      <c r="I90" s="4" t="n">
        <v>79.2</v>
      </c>
      <c r="J90" s="4" t="n">
        <v>6.61</v>
      </c>
      <c r="K90" s="4" t="n">
        <v>1</v>
      </c>
      <c r="L90" s="4" t="n">
        <v>4.1</v>
      </c>
      <c r="M90" s="4" t="n">
        <v>711213.46</v>
      </c>
      <c r="N90" s="4" t="n">
        <v>105863.26</v>
      </c>
    </row>
    <row r="91" customFormat="false" ht="15" hidden="false" customHeight="true" outlineLevel="0" collapsed="false">
      <c r="A91" s="4" t="s">
        <v>45</v>
      </c>
      <c r="B91" s="5" t="n">
        <v>45689</v>
      </c>
      <c r="C91" s="4" t="s">
        <v>25</v>
      </c>
      <c r="D91" s="4" t="s">
        <v>29</v>
      </c>
      <c r="E91" s="4" t="n">
        <v>141540.29</v>
      </c>
      <c r="F91" s="4" t="n">
        <v>5400</v>
      </c>
      <c r="G91" s="4" t="n">
        <v>0.013</v>
      </c>
      <c r="H91" s="4" t="n">
        <v>12</v>
      </c>
      <c r="I91" s="4" t="n">
        <v>87</v>
      </c>
      <c r="J91" s="4" t="n">
        <v>4.26</v>
      </c>
      <c r="K91" s="4" t="n">
        <v>0</v>
      </c>
      <c r="L91" s="4" t="n">
        <v>4.5</v>
      </c>
      <c r="M91" s="4" t="n">
        <v>627171.9</v>
      </c>
      <c r="N91" s="4" t="n">
        <v>105772.75</v>
      </c>
    </row>
    <row r="92" customFormat="false" ht="15" hidden="false" customHeight="true" outlineLevel="0" collapsed="false">
      <c r="A92" s="4" t="s">
        <v>45</v>
      </c>
      <c r="B92" s="5" t="n">
        <v>45717</v>
      </c>
      <c r="C92" s="4" t="s">
        <v>25</v>
      </c>
      <c r="D92" s="4" t="s">
        <v>29</v>
      </c>
      <c r="E92" s="4" t="n">
        <v>82116.19</v>
      </c>
      <c r="F92" s="4" t="n">
        <v>5988</v>
      </c>
      <c r="G92" s="4" t="n">
        <v>0.04</v>
      </c>
      <c r="H92" s="4" t="n">
        <v>17</v>
      </c>
      <c r="I92" s="4" t="n">
        <v>91.8</v>
      </c>
      <c r="J92" s="4" t="n">
        <v>5.75</v>
      </c>
      <c r="K92" s="4" t="n">
        <v>0</v>
      </c>
      <c r="L92" s="4" t="n">
        <v>4.7</v>
      </c>
      <c r="M92" s="4" t="n">
        <v>739852.58</v>
      </c>
      <c r="N92" s="4" t="n">
        <v>129386.43</v>
      </c>
    </row>
    <row r="93" customFormat="false" ht="15" hidden="false" customHeight="true" outlineLevel="0" collapsed="false">
      <c r="A93" s="4" t="s">
        <v>45</v>
      </c>
      <c r="B93" s="5" t="n">
        <v>45748</v>
      </c>
      <c r="C93" s="4" t="s">
        <v>25</v>
      </c>
      <c r="D93" s="4" t="s">
        <v>29</v>
      </c>
      <c r="E93" s="4" t="n">
        <v>31207.51</v>
      </c>
      <c r="F93" s="4" t="n">
        <v>3701</v>
      </c>
      <c r="G93" s="4" t="n">
        <v>0.043</v>
      </c>
      <c r="H93" s="4" t="n">
        <v>11</v>
      </c>
      <c r="I93" s="4" t="n">
        <v>84.7</v>
      </c>
      <c r="J93" s="4" t="n">
        <v>0.33</v>
      </c>
      <c r="K93" s="4" t="n">
        <v>0</v>
      </c>
      <c r="L93" s="4" t="n">
        <v>4.3</v>
      </c>
      <c r="M93" s="4" t="n">
        <v>586307.22</v>
      </c>
      <c r="N93" s="4" t="n">
        <v>73927.85</v>
      </c>
    </row>
    <row r="94" customFormat="false" ht="15" hidden="false" customHeight="true" outlineLevel="0" collapsed="false">
      <c r="A94" s="4" t="s">
        <v>46</v>
      </c>
      <c r="B94" s="5" t="n">
        <v>45658</v>
      </c>
      <c r="C94" s="4" t="s">
        <v>28</v>
      </c>
      <c r="D94" s="4" t="s">
        <v>17</v>
      </c>
      <c r="E94" s="4" t="n">
        <v>38966.59</v>
      </c>
      <c r="F94" s="4" t="n">
        <v>4509</v>
      </c>
      <c r="G94" s="4" t="n">
        <v>0.194</v>
      </c>
      <c r="H94" s="4" t="n">
        <v>14</v>
      </c>
      <c r="I94" s="4" t="n">
        <v>91.1</v>
      </c>
      <c r="J94" s="4" t="n">
        <v>2.92</v>
      </c>
      <c r="K94" s="4" t="n">
        <v>0</v>
      </c>
      <c r="L94" s="4" t="n">
        <v>4.6</v>
      </c>
      <c r="M94" s="4" t="n">
        <v>585937.48</v>
      </c>
      <c r="N94" s="4" t="n">
        <v>82624.2</v>
      </c>
    </row>
    <row r="95" customFormat="false" ht="15" hidden="false" customHeight="true" outlineLevel="0" collapsed="false">
      <c r="A95" s="4" t="s">
        <v>46</v>
      </c>
      <c r="B95" s="5" t="n">
        <v>45689</v>
      </c>
      <c r="C95" s="4" t="s">
        <v>28</v>
      </c>
      <c r="D95" s="4" t="s">
        <v>17</v>
      </c>
      <c r="E95" s="4" t="n">
        <v>67439.3</v>
      </c>
      <c r="F95" s="4" t="n">
        <v>6477</v>
      </c>
      <c r="G95" s="4" t="n">
        <v>0</v>
      </c>
      <c r="H95" s="4" t="n">
        <v>16</v>
      </c>
      <c r="I95" s="4" t="n">
        <v>90.9</v>
      </c>
      <c r="J95" s="4" t="n">
        <v>1.64</v>
      </c>
      <c r="K95" s="4" t="n">
        <v>0</v>
      </c>
      <c r="L95" s="4" t="n">
        <v>4.5</v>
      </c>
      <c r="M95" s="4" t="n">
        <v>753473.55</v>
      </c>
      <c r="N95" s="4" t="n">
        <v>151527.22</v>
      </c>
    </row>
    <row r="96" customFormat="false" ht="15" hidden="false" customHeight="true" outlineLevel="0" collapsed="false">
      <c r="A96" s="4" t="s">
        <v>46</v>
      </c>
      <c r="B96" s="5" t="n">
        <v>45717</v>
      </c>
      <c r="C96" s="4" t="s">
        <v>28</v>
      </c>
      <c r="D96" s="4" t="s">
        <v>17</v>
      </c>
      <c r="E96" s="4" t="n">
        <v>86421.88</v>
      </c>
      <c r="F96" s="4" t="n">
        <v>7970</v>
      </c>
      <c r="G96" s="4" t="n">
        <v>0.073</v>
      </c>
      <c r="H96" s="4" t="n">
        <v>17</v>
      </c>
      <c r="I96" s="4" t="n">
        <v>91.3</v>
      </c>
      <c r="J96" s="4" t="n">
        <v>0.8</v>
      </c>
      <c r="K96" s="4" t="n">
        <v>0</v>
      </c>
      <c r="L96" s="4" t="n">
        <v>5</v>
      </c>
      <c r="M96" s="4" t="n">
        <v>838250.32</v>
      </c>
      <c r="N96" s="4" t="n">
        <v>122939.34</v>
      </c>
    </row>
    <row r="97" customFormat="false" ht="15" hidden="false" customHeight="true" outlineLevel="0" collapsed="false">
      <c r="A97" s="4" t="s">
        <v>46</v>
      </c>
      <c r="B97" s="5" t="n">
        <v>45748</v>
      </c>
      <c r="C97" s="4" t="s">
        <v>28</v>
      </c>
      <c r="D97" s="4" t="s">
        <v>17</v>
      </c>
      <c r="E97" s="4" t="n">
        <v>9534.65</v>
      </c>
      <c r="F97" s="4" t="n">
        <v>6057</v>
      </c>
      <c r="G97" s="4" t="n">
        <v>0.074</v>
      </c>
      <c r="H97" s="4" t="n">
        <v>15</v>
      </c>
      <c r="I97" s="4" t="n">
        <v>94.1</v>
      </c>
      <c r="J97" s="4" t="n">
        <v>5.79</v>
      </c>
      <c r="K97" s="4" t="n">
        <v>0</v>
      </c>
      <c r="L97" s="4" t="n">
        <v>4.5</v>
      </c>
      <c r="M97" s="4" t="n">
        <v>607898.12</v>
      </c>
      <c r="N97" s="4" t="n">
        <v>135404.85</v>
      </c>
    </row>
    <row r="98" customFormat="false" ht="15" hidden="false" customHeight="true" outlineLevel="0" collapsed="false">
      <c r="A98" s="4" t="s">
        <v>47</v>
      </c>
      <c r="B98" s="5" t="n">
        <v>45658</v>
      </c>
      <c r="C98" s="4" t="s">
        <v>28</v>
      </c>
      <c r="D98" s="4" t="s">
        <v>29</v>
      </c>
      <c r="E98" s="4" t="n">
        <v>61132.07</v>
      </c>
      <c r="F98" s="4" t="n">
        <v>6394</v>
      </c>
      <c r="G98" s="4" t="n">
        <v>0.163</v>
      </c>
      <c r="H98" s="4" t="n">
        <v>19</v>
      </c>
      <c r="I98" s="4" t="n">
        <v>91</v>
      </c>
      <c r="J98" s="4" t="n">
        <v>19.6</v>
      </c>
      <c r="K98" s="4" t="n">
        <v>0</v>
      </c>
      <c r="L98" s="4" t="n">
        <v>4.4</v>
      </c>
      <c r="M98" s="4" t="n">
        <v>691113.62</v>
      </c>
      <c r="N98" s="4" t="n">
        <v>135145.44</v>
      </c>
    </row>
    <row r="99" customFormat="false" ht="15" hidden="false" customHeight="true" outlineLevel="0" collapsed="false">
      <c r="A99" s="4" t="s">
        <v>47</v>
      </c>
      <c r="B99" s="5" t="n">
        <v>45689</v>
      </c>
      <c r="C99" s="4" t="s">
        <v>28</v>
      </c>
      <c r="D99" s="4" t="s">
        <v>29</v>
      </c>
      <c r="E99" s="4" t="n">
        <v>78839.39</v>
      </c>
      <c r="F99" s="4" t="n">
        <v>5150</v>
      </c>
      <c r="G99" s="4" t="n">
        <v>0.171</v>
      </c>
      <c r="H99" s="4" t="n">
        <v>13</v>
      </c>
      <c r="I99" s="4" t="n">
        <v>85.8</v>
      </c>
      <c r="J99" s="4" t="n">
        <v>7.57</v>
      </c>
      <c r="K99" s="4" t="n">
        <v>0</v>
      </c>
      <c r="L99" s="4" t="n">
        <v>4.3</v>
      </c>
      <c r="M99" s="4" t="n">
        <v>735509.4</v>
      </c>
      <c r="N99" s="4" t="n">
        <v>83895.96</v>
      </c>
    </row>
    <row r="100" customFormat="false" ht="15" hidden="false" customHeight="true" outlineLevel="0" collapsed="false">
      <c r="A100" s="4" t="s">
        <v>47</v>
      </c>
      <c r="B100" s="5" t="n">
        <v>45748</v>
      </c>
      <c r="C100" s="4" t="s">
        <v>28</v>
      </c>
      <c r="D100" s="4" t="s">
        <v>29</v>
      </c>
      <c r="E100" s="4" t="n">
        <v>55101.1</v>
      </c>
      <c r="F100" s="4" t="n">
        <v>5281</v>
      </c>
      <c r="G100" s="4" t="n">
        <v>0.189</v>
      </c>
      <c r="H100" s="4" t="n">
        <v>11</v>
      </c>
      <c r="I100" s="4" t="n">
        <v>91</v>
      </c>
      <c r="J100" s="4" t="n">
        <v>2.7</v>
      </c>
      <c r="K100" s="4" t="n">
        <v>0</v>
      </c>
      <c r="L100" s="4" t="n">
        <v>4.4</v>
      </c>
      <c r="M100" s="4" t="n">
        <v>675177.68</v>
      </c>
      <c r="N100" s="4" t="n">
        <v>105628.68</v>
      </c>
    </row>
    <row r="101" customFormat="false" ht="15" hidden="false" customHeight="true" outlineLevel="0" collapsed="false">
      <c r="A101" s="4" t="s">
        <v>48</v>
      </c>
      <c r="B101" s="5" t="n">
        <v>45658</v>
      </c>
      <c r="C101" s="4" t="s">
        <v>16</v>
      </c>
      <c r="D101" s="4" t="s">
        <v>29</v>
      </c>
      <c r="E101" s="4" t="n">
        <v>53084.76</v>
      </c>
      <c r="F101" s="4" t="n">
        <v>3642</v>
      </c>
      <c r="G101" s="4" t="n">
        <v>0.15</v>
      </c>
      <c r="H101" s="4" t="n">
        <v>12</v>
      </c>
      <c r="I101" s="4" t="n">
        <v>91.4</v>
      </c>
      <c r="J101" s="4" t="n">
        <v>0.2</v>
      </c>
      <c r="K101" s="4" t="n">
        <v>0</v>
      </c>
      <c r="L101" s="4" t="n">
        <v>4.4</v>
      </c>
      <c r="M101" s="4" t="n">
        <v>635181.35</v>
      </c>
      <c r="N101" s="4" t="n">
        <v>83341.25</v>
      </c>
    </row>
    <row r="102" customFormat="false" ht="15" hidden="false" customHeight="true" outlineLevel="0" collapsed="false">
      <c r="A102" s="4" t="s">
        <v>48</v>
      </c>
      <c r="B102" s="5" t="n">
        <v>45689</v>
      </c>
      <c r="C102" s="4" t="s">
        <v>16</v>
      </c>
      <c r="D102" s="4" t="s">
        <v>29</v>
      </c>
      <c r="E102" s="4" t="n">
        <v>63101.59</v>
      </c>
      <c r="F102" s="4" t="n">
        <v>4373</v>
      </c>
      <c r="G102" s="4" t="n">
        <v>0.173</v>
      </c>
      <c r="H102" s="4" t="n">
        <v>14</v>
      </c>
      <c r="I102" s="4" t="n">
        <v>90.4</v>
      </c>
      <c r="J102" s="4" t="n">
        <v>7.87</v>
      </c>
      <c r="K102" s="4" t="n">
        <v>0</v>
      </c>
      <c r="L102" s="4" t="n">
        <v>4.7</v>
      </c>
      <c r="M102" s="4" t="n">
        <v>586626.94</v>
      </c>
      <c r="N102" s="4" t="n">
        <v>86498.55</v>
      </c>
    </row>
    <row r="103" customFormat="false" ht="15" hidden="false" customHeight="true" outlineLevel="0" collapsed="false">
      <c r="A103" s="4" t="s">
        <v>48</v>
      </c>
      <c r="B103" s="5" t="n">
        <v>45717</v>
      </c>
      <c r="C103" s="4" t="s">
        <v>16</v>
      </c>
      <c r="D103" s="4" t="s">
        <v>29</v>
      </c>
      <c r="E103" s="4" t="n">
        <v>90084.4</v>
      </c>
      <c r="F103" s="4" t="n">
        <v>6832</v>
      </c>
      <c r="G103" s="4" t="n">
        <v>0.185</v>
      </c>
      <c r="H103" s="4" t="n">
        <v>14</v>
      </c>
      <c r="I103" s="4" t="n">
        <v>80.5</v>
      </c>
      <c r="J103" s="4" t="n">
        <v>0.77</v>
      </c>
      <c r="K103" s="4" t="n">
        <v>1</v>
      </c>
      <c r="L103" s="4" t="n">
        <v>4.4</v>
      </c>
      <c r="M103" s="4" t="n">
        <v>740102.64</v>
      </c>
      <c r="N103" s="4" t="n">
        <v>114299.07</v>
      </c>
    </row>
    <row r="104" customFormat="false" ht="15" hidden="false" customHeight="true" outlineLevel="0" collapsed="false">
      <c r="A104" s="4" t="s">
        <v>48</v>
      </c>
      <c r="B104" s="5" t="n">
        <v>45748</v>
      </c>
      <c r="C104" s="4" t="s">
        <v>16</v>
      </c>
      <c r="D104" s="4" t="s">
        <v>29</v>
      </c>
      <c r="E104" s="4" t="n">
        <v>32266.64</v>
      </c>
      <c r="F104" s="4" t="n">
        <v>2414</v>
      </c>
      <c r="G104" s="4" t="n">
        <v>0.08</v>
      </c>
      <c r="H104" s="4" t="n">
        <v>7</v>
      </c>
      <c r="I104" s="4" t="n">
        <v>92.1</v>
      </c>
      <c r="J104" s="4" t="n">
        <v>1.48</v>
      </c>
      <c r="K104" s="4" t="n">
        <v>0</v>
      </c>
      <c r="L104" s="4" t="n">
        <v>5</v>
      </c>
      <c r="M104" s="4" t="n">
        <v>625514.04</v>
      </c>
      <c r="N104" s="4" t="n">
        <v>120685.08</v>
      </c>
    </row>
    <row r="105" customFormat="false" ht="15" hidden="false" customHeight="true" outlineLevel="0" collapsed="false">
      <c r="A105" s="4" t="s">
        <v>49</v>
      </c>
      <c r="B105" s="5" t="n">
        <v>45658</v>
      </c>
      <c r="C105" s="4" t="s">
        <v>28</v>
      </c>
      <c r="D105" s="4" t="s">
        <v>19</v>
      </c>
      <c r="E105" s="4" t="n">
        <v>57919.07</v>
      </c>
      <c r="F105" s="4" t="n">
        <v>7374</v>
      </c>
      <c r="G105" s="4" t="n">
        <v>0.103</v>
      </c>
      <c r="H105" s="4" t="n">
        <v>21</v>
      </c>
      <c r="I105" s="4" t="n">
        <v>82.3</v>
      </c>
      <c r="J105" s="4" t="n">
        <v>2.87</v>
      </c>
      <c r="K105" s="4" t="n">
        <v>0</v>
      </c>
      <c r="L105" s="4" t="n">
        <v>2.9</v>
      </c>
      <c r="M105" s="4" t="n">
        <v>727227.2</v>
      </c>
      <c r="N105" s="4" t="n">
        <v>121292.01</v>
      </c>
    </row>
    <row r="106" customFormat="false" ht="15" hidden="false" customHeight="true" outlineLevel="0" collapsed="false">
      <c r="A106" s="4" t="s">
        <v>49</v>
      </c>
      <c r="B106" s="5" t="n">
        <v>45689</v>
      </c>
      <c r="C106" s="4" t="s">
        <v>28</v>
      </c>
      <c r="D106" s="4" t="s">
        <v>19</v>
      </c>
      <c r="E106" s="4" t="n">
        <v>74679.35</v>
      </c>
      <c r="F106" s="4" t="n">
        <v>8739</v>
      </c>
      <c r="G106" s="4" t="n">
        <v>0.056</v>
      </c>
      <c r="H106" s="4" t="n">
        <v>21</v>
      </c>
      <c r="I106" s="4" t="n">
        <v>91.8</v>
      </c>
      <c r="J106" s="4" t="n">
        <v>2.83</v>
      </c>
      <c r="K106" s="4" t="n">
        <v>0</v>
      </c>
      <c r="L106" s="4" t="n">
        <v>3</v>
      </c>
      <c r="M106" s="4" t="n">
        <v>783797.89</v>
      </c>
      <c r="N106" s="4" t="n">
        <v>157620.7</v>
      </c>
    </row>
    <row r="107" customFormat="false" ht="15" hidden="false" customHeight="true" outlineLevel="0" collapsed="false">
      <c r="A107" s="4" t="s">
        <v>49</v>
      </c>
      <c r="B107" s="5" t="n">
        <v>45717</v>
      </c>
      <c r="C107" s="4" t="s">
        <v>28</v>
      </c>
      <c r="D107" s="4" t="s">
        <v>19</v>
      </c>
      <c r="E107" s="4" t="n">
        <v>64294.23</v>
      </c>
      <c r="F107" s="4" t="n">
        <v>6992</v>
      </c>
      <c r="G107" s="4" t="n">
        <v>0.133</v>
      </c>
      <c r="H107" s="4" t="n">
        <v>14</v>
      </c>
      <c r="I107" s="4" t="n">
        <v>94.1</v>
      </c>
      <c r="J107" s="4" t="n">
        <v>0.25</v>
      </c>
      <c r="K107" s="4" t="n">
        <v>0</v>
      </c>
      <c r="L107" s="4" t="n">
        <v>3</v>
      </c>
      <c r="M107" s="4" t="n">
        <v>795153.84</v>
      </c>
      <c r="N107" s="4" t="n">
        <v>143194.21</v>
      </c>
    </row>
    <row r="108" customFormat="false" ht="15" hidden="false" customHeight="true" outlineLevel="0" collapsed="false">
      <c r="A108" s="4" t="s">
        <v>49</v>
      </c>
      <c r="B108" s="5" t="n">
        <v>45748</v>
      </c>
      <c r="C108" s="4" t="s">
        <v>28</v>
      </c>
      <c r="D108" s="4" t="s">
        <v>19</v>
      </c>
      <c r="E108" s="4" t="n">
        <v>31042.03</v>
      </c>
      <c r="F108" s="4" t="n">
        <v>7107</v>
      </c>
      <c r="G108" s="4" t="n">
        <v>0.051</v>
      </c>
      <c r="H108" s="4" t="n">
        <v>15</v>
      </c>
      <c r="I108" s="4" t="n">
        <v>87</v>
      </c>
      <c r="J108" s="4" t="n">
        <v>13.33</v>
      </c>
      <c r="K108" s="4" t="n">
        <v>0</v>
      </c>
      <c r="L108" s="4" t="n">
        <v>3.2</v>
      </c>
      <c r="M108" s="4" t="n">
        <v>665594.94</v>
      </c>
      <c r="N108" s="4" t="n">
        <v>127597.34</v>
      </c>
    </row>
    <row r="109" customFormat="false" ht="15" hidden="false" customHeight="true" outlineLevel="0" collapsed="false">
      <c r="A109" s="4" t="s">
        <v>50</v>
      </c>
      <c r="B109" s="5" t="n">
        <v>45658</v>
      </c>
      <c r="C109" s="4" t="s">
        <v>16</v>
      </c>
      <c r="D109" s="4" t="s">
        <v>29</v>
      </c>
      <c r="E109" s="4" t="n">
        <v>75265.02</v>
      </c>
      <c r="F109" s="4" t="n">
        <v>6975</v>
      </c>
      <c r="G109" s="4" t="n">
        <v>0.157</v>
      </c>
      <c r="H109" s="4" t="n">
        <v>20</v>
      </c>
      <c r="I109" s="4" t="n">
        <v>73.8</v>
      </c>
      <c r="J109" s="4" t="n">
        <v>6.35</v>
      </c>
      <c r="K109" s="4" t="n">
        <v>1</v>
      </c>
      <c r="L109" s="4" t="n">
        <v>3.8</v>
      </c>
      <c r="M109" s="4" t="n">
        <v>709478.39</v>
      </c>
      <c r="N109" s="4" t="n">
        <v>71294.27</v>
      </c>
    </row>
    <row r="110" customFormat="false" ht="15" hidden="false" customHeight="true" outlineLevel="0" collapsed="false">
      <c r="A110" s="4" t="s">
        <v>50</v>
      </c>
      <c r="B110" s="5" t="n">
        <v>45689</v>
      </c>
      <c r="C110" s="4" t="s">
        <v>16</v>
      </c>
      <c r="D110" s="4" t="s">
        <v>29</v>
      </c>
      <c r="E110" s="4" t="n">
        <v>69411.7</v>
      </c>
      <c r="F110" s="4" t="n">
        <v>5493</v>
      </c>
      <c r="G110" s="4" t="n">
        <v>0.292</v>
      </c>
      <c r="H110" s="4" t="n">
        <v>13</v>
      </c>
      <c r="I110" s="4" t="n">
        <v>86.5</v>
      </c>
      <c r="J110" s="4" t="n">
        <v>6.69</v>
      </c>
      <c r="K110" s="4" t="n">
        <v>0</v>
      </c>
      <c r="L110" s="4" t="n">
        <v>3.8</v>
      </c>
      <c r="M110" s="4" t="n">
        <v>664162.49</v>
      </c>
      <c r="N110" s="4" t="n">
        <v>98291.06</v>
      </c>
    </row>
    <row r="111" customFormat="false" ht="15" hidden="false" customHeight="true" outlineLevel="0" collapsed="false">
      <c r="A111" s="4" t="s">
        <v>50</v>
      </c>
      <c r="B111" s="5" t="n">
        <v>45717</v>
      </c>
      <c r="C111" s="4" t="s">
        <v>16</v>
      </c>
      <c r="D111" s="4" t="s">
        <v>29</v>
      </c>
      <c r="E111" s="4" t="n">
        <v>51056.15</v>
      </c>
      <c r="F111" s="4" t="n">
        <v>5686</v>
      </c>
      <c r="G111" s="4" t="n">
        <v>0.089</v>
      </c>
      <c r="H111" s="4" t="n">
        <v>13</v>
      </c>
      <c r="I111" s="4" t="n">
        <v>89.9</v>
      </c>
      <c r="J111" s="4" t="n">
        <v>1.28</v>
      </c>
      <c r="K111" s="4" t="n">
        <v>0</v>
      </c>
      <c r="L111" s="4" t="n">
        <v>4.2</v>
      </c>
      <c r="M111" s="4" t="n">
        <v>633494.21</v>
      </c>
      <c r="N111" s="4" t="n">
        <v>105739.47</v>
      </c>
    </row>
    <row r="112" customFormat="false" ht="15" hidden="false" customHeight="true" outlineLevel="0" collapsed="false">
      <c r="A112" s="4" t="s">
        <v>50</v>
      </c>
      <c r="B112" s="5" t="n">
        <v>45748</v>
      </c>
      <c r="C112" s="4" t="s">
        <v>16</v>
      </c>
      <c r="D112" s="4" t="s">
        <v>29</v>
      </c>
      <c r="E112" s="4" t="n">
        <v>52758.01</v>
      </c>
      <c r="F112" s="4" t="n">
        <v>4063</v>
      </c>
      <c r="G112" s="4" t="n">
        <v>0.057</v>
      </c>
      <c r="H112" s="4" t="n">
        <v>12</v>
      </c>
      <c r="I112" s="4" t="n">
        <v>91.7</v>
      </c>
      <c r="J112" s="4" t="n">
        <v>0.92</v>
      </c>
      <c r="K112" s="4" t="n">
        <v>0</v>
      </c>
      <c r="L112" s="4" t="n">
        <v>3.5</v>
      </c>
      <c r="M112" s="4" t="n">
        <v>713611.16</v>
      </c>
      <c r="N112" s="4" t="n">
        <v>129717.18</v>
      </c>
    </row>
    <row r="113" customFormat="false" ht="15" hidden="false" customHeight="true" outlineLevel="0" collapsed="false">
      <c r="A113" s="4" t="s">
        <v>51</v>
      </c>
      <c r="B113" s="5" t="n">
        <v>45658</v>
      </c>
      <c r="C113" s="4" t="s">
        <v>28</v>
      </c>
      <c r="D113" s="4" t="s">
        <v>29</v>
      </c>
      <c r="E113" s="4" t="n">
        <v>61426.04</v>
      </c>
      <c r="F113" s="4" t="n">
        <v>8966</v>
      </c>
      <c r="G113" s="4" t="n">
        <v>0.173</v>
      </c>
      <c r="H113" s="4" t="n">
        <v>22</v>
      </c>
      <c r="I113" s="4" t="n">
        <v>76.4</v>
      </c>
      <c r="J113" s="4" t="n">
        <v>1.05</v>
      </c>
      <c r="K113" s="4" t="n">
        <v>0</v>
      </c>
      <c r="L113" s="4" t="n">
        <v>3.1</v>
      </c>
      <c r="M113" s="4" t="n">
        <v>778397.97</v>
      </c>
      <c r="N113" s="4" t="n">
        <v>120044.41</v>
      </c>
    </row>
    <row r="114" customFormat="false" ht="15" hidden="false" customHeight="true" outlineLevel="0" collapsed="false">
      <c r="A114" s="4" t="s">
        <v>51</v>
      </c>
      <c r="B114" s="5" t="n">
        <v>45689</v>
      </c>
      <c r="C114" s="4" t="s">
        <v>28</v>
      </c>
      <c r="D114" s="4" t="s">
        <v>29</v>
      </c>
      <c r="E114" s="4" t="n">
        <v>80176.34</v>
      </c>
      <c r="F114" s="4" t="n">
        <v>9489</v>
      </c>
      <c r="G114" s="4" t="n">
        <v>0.142</v>
      </c>
      <c r="H114" s="4" t="n">
        <v>22</v>
      </c>
      <c r="I114" s="4" t="n">
        <v>94.3</v>
      </c>
      <c r="J114" s="4" t="n">
        <v>2.67</v>
      </c>
      <c r="K114" s="4" t="n">
        <v>0</v>
      </c>
      <c r="L114" s="4" t="n">
        <v>3.5</v>
      </c>
      <c r="M114" s="4" t="n">
        <v>873380.02</v>
      </c>
      <c r="N114" s="4" t="n">
        <v>149734.76</v>
      </c>
    </row>
    <row r="115" customFormat="false" ht="15" hidden="false" customHeight="true" outlineLevel="0" collapsed="false">
      <c r="A115" s="4" t="s">
        <v>51</v>
      </c>
      <c r="B115" s="5" t="n">
        <v>45717</v>
      </c>
      <c r="C115" s="4" t="s">
        <v>28</v>
      </c>
      <c r="D115" s="4" t="s">
        <v>29</v>
      </c>
      <c r="E115" s="4" t="n">
        <v>33605.18</v>
      </c>
      <c r="F115" s="4" t="n">
        <v>9225</v>
      </c>
      <c r="G115" s="4" t="n">
        <v>0.159</v>
      </c>
      <c r="H115" s="4" t="n">
        <v>23</v>
      </c>
      <c r="I115" s="4" t="n">
        <v>88.4</v>
      </c>
      <c r="J115" s="4" t="n">
        <v>5.91</v>
      </c>
      <c r="K115" s="4" t="n">
        <v>0</v>
      </c>
      <c r="L115" s="4" t="n">
        <v>2.8</v>
      </c>
      <c r="M115" s="4" t="n">
        <v>697287.9</v>
      </c>
      <c r="N115" s="4" t="n">
        <v>128208.33</v>
      </c>
    </row>
    <row r="116" customFormat="false" ht="15" hidden="false" customHeight="true" outlineLevel="0" collapsed="false">
      <c r="A116" s="4" t="s">
        <v>51</v>
      </c>
      <c r="B116" s="5" t="n">
        <v>45748</v>
      </c>
      <c r="C116" s="4" t="s">
        <v>28</v>
      </c>
      <c r="D116" s="4" t="s">
        <v>29</v>
      </c>
      <c r="E116" s="4" t="n">
        <v>25990.54</v>
      </c>
      <c r="F116" s="4" t="n">
        <v>9249</v>
      </c>
      <c r="G116" s="4" t="n">
        <v>0.139</v>
      </c>
      <c r="H116" s="4" t="n">
        <v>23</v>
      </c>
      <c r="I116" s="4" t="n">
        <v>92.5</v>
      </c>
      <c r="J116" s="4" t="n">
        <v>6.37</v>
      </c>
      <c r="K116" s="4" t="n">
        <v>0</v>
      </c>
      <c r="L116" s="4" t="n">
        <v>3.3</v>
      </c>
      <c r="M116" s="4" t="n">
        <v>718074.79</v>
      </c>
      <c r="N116" s="4" t="n">
        <v>115819.87</v>
      </c>
    </row>
    <row r="117" customFormat="false" ht="15" hidden="false" customHeight="true" outlineLevel="0" collapsed="false">
      <c r="A117" s="4" t="s">
        <v>52</v>
      </c>
      <c r="B117" s="5" t="n">
        <v>45658</v>
      </c>
      <c r="C117" s="4" t="s">
        <v>28</v>
      </c>
      <c r="D117" s="4" t="s">
        <v>17</v>
      </c>
      <c r="E117" s="4" t="n">
        <v>43685.14</v>
      </c>
      <c r="F117" s="4" t="n">
        <v>7821</v>
      </c>
      <c r="G117" s="4" t="n">
        <v>0.19</v>
      </c>
      <c r="H117" s="4" t="n">
        <v>17</v>
      </c>
      <c r="I117" s="4" t="n">
        <v>91</v>
      </c>
      <c r="J117" s="4" t="n">
        <v>2.49</v>
      </c>
      <c r="K117" s="4" t="n">
        <v>1</v>
      </c>
      <c r="L117" s="4" t="n">
        <v>4.7</v>
      </c>
      <c r="M117" s="4" t="n">
        <v>714942.43</v>
      </c>
      <c r="N117" s="4" t="n">
        <v>94697.71</v>
      </c>
    </row>
    <row r="118" customFormat="false" ht="15" hidden="false" customHeight="true" outlineLevel="0" collapsed="false">
      <c r="A118" s="4" t="s">
        <v>52</v>
      </c>
      <c r="B118" s="5" t="n">
        <v>45689</v>
      </c>
      <c r="C118" s="4" t="s">
        <v>28</v>
      </c>
      <c r="D118" s="4" t="s">
        <v>17</v>
      </c>
      <c r="E118" s="4" t="n">
        <v>57360.01</v>
      </c>
      <c r="F118" s="4" t="n">
        <v>8434</v>
      </c>
      <c r="G118" s="4" t="n">
        <v>0.151</v>
      </c>
      <c r="H118" s="4" t="n">
        <v>19</v>
      </c>
      <c r="I118" s="4" t="n">
        <v>84.1</v>
      </c>
      <c r="J118" s="4" t="n">
        <v>1.56</v>
      </c>
      <c r="K118" s="4" t="n">
        <v>0</v>
      </c>
      <c r="L118" s="4" t="n">
        <v>4.7</v>
      </c>
      <c r="M118" s="4" t="n">
        <v>820519.04</v>
      </c>
      <c r="N118" s="4" t="n">
        <v>99035.88</v>
      </c>
    </row>
    <row r="119" customFormat="false" ht="15" hidden="false" customHeight="true" outlineLevel="0" collapsed="false">
      <c r="A119" s="4" t="s">
        <v>52</v>
      </c>
      <c r="B119" s="5" t="n">
        <v>45717</v>
      </c>
      <c r="C119" s="4" t="s">
        <v>28</v>
      </c>
      <c r="D119" s="4" t="s">
        <v>17</v>
      </c>
      <c r="E119" s="4" t="n">
        <v>42415.47</v>
      </c>
      <c r="F119" s="4" t="n">
        <v>8512</v>
      </c>
      <c r="G119" s="4" t="n">
        <v>0.133</v>
      </c>
      <c r="H119" s="4" t="n">
        <v>18</v>
      </c>
      <c r="I119" s="4" t="n">
        <v>96.8</v>
      </c>
      <c r="J119" s="4" t="n">
        <v>14.95</v>
      </c>
      <c r="K119" s="4" t="n">
        <v>0</v>
      </c>
      <c r="L119" s="4" t="n">
        <v>4.6</v>
      </c>
      <c r="M119" s="4" t="n">
        <v>684217.32</v>
      </c>
      <c r="N119" s="4" t="n">
        <v>136217.19</v>
      </c>
    </row>
    <row r="120" customFormat="false" ht="15" hidden="false" customHeight="true" outlineLevel="0" collapsed="false">
      <c r="A120" s="4" t="s">
        <v>52</v>
      </c>
      <c r="B120" s="5" t="n">
        <v>45748</v>
      </c>
      <c r="C120" s="4" t="s">
        <v>28</v>
      </c>
      <c r="D120" s="4" t="s">
        <v>17</v>
      </c>
      <c r="E120" s="4" t="n">
        <v>54968.98</v>
      </c>
      <c r="F120" s="4" t="n">
        <v>7816</v>
      </c>
      <c r="G120" s="4" t="n">
        <v>0.232</v>
      </c>
      <c r="H120" s="4" t="n">
        <v>19</v>
      </c>
      <c r="I120" s="4" t="n">
        <v>95.7</v>
      </c>
      <c r="J120" s="4" t="n">
        <v>7.85</v>
      </c>
      <c r="K120" s="4" t="n">
        <v>0</v>
      </c>
      <c r="L120" s="4" t="n">
        <v>4.7</v>
      </c>
      <c r="M120" s="4" t="n">
        <v>735480.19</v>
      </c>
      <c r="N120" s="4" t="n">
        <v>88342.11</v>
      </c>
    </row>
    <row r="121" customFormat="false" ht="15" hidden="false" customHeight="true" outlineLevel="0" collapsed="false">
      <c r="A121" s="4" t="s">
        <v>53</v>
      </c>
      <c r="B121" s="5" t="n">
        <v>45658</v>
      </c>
      <c r="C121" s="4" t="s">
        <v>21</v>
      </c>
      <c r="D121" s="4" t="s">
        <v>19</v>
      </c>
      <c r="E121" s="4" t="n">
        <v>43896.13</v>
      </c>
      <c r="F121" s="4" t="n">
        <v>3853</v>
      </c>
      <c r="G121" s="4" t="n">
        <v>0.088</v>
      </c>
      <c r="H121" s="4" t="n">
        <v>13</v>
      </c>
      <c r="I121" s="4" t="n">
        <v>83</v>
      </c>
      <c r="J121" s="4" t="n">
        <v>6.8</v>
      </c>
      <c r="K121" s="4" t="n">
        <v>0</v>
      </c>
      <c r="L121" s="4" t="n">
        <v>4.4</v>
      </c>
      <c r="M121" s="4" t="n">
        <v>509484.81</v>
      </c>
      <c r="N121" s="4" t="n">
        <v>85742.36</v>
      </c>
    </row>
    <row r="122" customFormat="false" ht="15" hidden="false" customHeight="true" outlineLevel="0" collapsed="false">
      <c r="A122" s="4" t="s">
        <v>53</v>
      </c>
      <c r="B122" s="5" t="n">
        <v>45689</v>
      </c>
      <c r="C122" s="4" t="s">
        <v>21</v>
      </c>
      <c r="D122" s="4" t="s">
        <v>19</v>
      </c>
      <c r="E122" s="4" t="n">
        <v>83044.17</v>
      </c>
      <c r="F122" s="4" t="n">
        <v>3694</v>
      </c>
      <c r="G122" s="4" t="n">
        <v>0</v>
      </c>
      <c r="H122" s="4" t="n">
        <v>14</v>
      </c>
      <c r="I122" s="4" t="n">
        <v>89.4</v>
      </c>
      <c r="J122" s="4" t="n">
        <v>2.2</v>
      </c>
      <c r="K122" s="4" t="n">
        <v>0</v>
      </c>
      <c r="L122" s="4" t="n">
        <v>3.7</v>
      </c>
      <c r="M122" s="4" t="n">
        <v>654317.09</v>
      </c>
      <c r="N122" s="4" t="n">
        <v>121446.89</v>
      </c>
    </row>
    <row r="123" customFormat="false" ht="15" hidden="false" customHeight="true" outlineLevel="0" collapsed="false">
      <c r="A123" s="4" t="s">
        <v>53</v>
      </c>
      <c r="B123" s="5" t="n">
        <v>45717</v>
      </c>
      <c r="C123" s="4" t="s">
        <v>21</v>
      </c>
      <c r="D123" s="4" t="s">
        <v>19</v>
      </c>
      <c r="E123" s="4" t="n">
        <v>48396.13</v>
      </c>
      <c r="F123" s="4" t="n">
        <v>4423</v>
      </c>
      <c r="G123" s="4" t="n">
        <v>0.069</v>
      </c>
      <c r="H123" s="4" t="n">
        <v>15</v>
      </c>
      <c r="I123" s="4" t="n">
        <v>85.7</v>
      </c>
      <c r="J123" s="4" t="n">
        <v>1.88</v>
      </c>
      <c r="K123" s="4" t="n">
        <v>0</v>
      </c>
      <c r="L123" s="4" t="n">
        <v>3.9</v>
      </c>
      <c r="M123" s="4" t="n">
        <v>557487.26</v>
      </c>
      <c r="N123" s="4" t="n">
        <v>76432.19</v>
      </c>
    </row>
    <row r="124" customFormat="false" ht="15" hidden="false" customHeight="true" outlineLevel="0" collapsed="false">
      <c r="A124" s="4" t="s">
        <v>53</v>
      </c>
      <c r="B124" s="5" t="n">
        <v>45748</v>
      </c>
      <c r="C124" s="4" t="s">
        <v>21</v>
      </c>
      <c r="D124" s="4" t="s">
        <v>19</v>
      </c>
      <c r="E124" s="4" t="n">
        <v>19063.48</v>
      </c>
      <c r="F124" s="4" t="n">
        <v>1906</v>
      </c>
      <c r="G124" s="4" t="n">
        <v>0.216</v>
      </c>
      <c r="H124" s="4" t="n">
        <v>10</v>
      </c>
      <c r="I124" s="4" t="n">
        <v>97.8</v>
      </c>
      <c r="J124" s="4" t="n">
        <v>15.79</v>
      </c>
      <c r="K124" s="4" t="n">
        <v>0</v>
      </c>
      <c r="L124" s="4" t="n">
        <v>4.4</v>
      </c>
      <c r="M124" s="4" t="n">
        <v>441275.42</v>
      </c>
      <c r="N124" s="4" t="n">
        <v>58234.87</v>
      </c>
    </row>
    <row r="125" customFormat="false" ht="15" hidden="false" customHeight="true" outlineLevel="0" collapsed="false">
      <c r="A125" s="4" t="s">
        <v>54</v>
      </c>
      <c r="B125" s="5" t="n">
        <v>45658</v>
      </c>
      <c r="C125" s="4" t="s">
        <v>25</v>
      </c>
      <c r="D125" s="4" t="s">
        <v>19</v>
      </c>
      <c r="E125" s="4" t="n">
        <v>61541.21</v>
      </c>
      <c r="F125" s="4" t="n">
        <v>10396</v>
      </c>
      <c r="G125" s="4" t="n">
        <v>0.123</v>
      </c>
      <c r="H125" s="4" t="n">
        <v>25</v>
      </c>
      <c r="I125" s="4" t="n">
        <v>88.1</v>
      </c>
      <c r="J125" s="4" t="n">
        <v>2.34</v>
      </c>
      <c r="K125" s="4" t="n">
        <v>1</v>
      </c>
      <c r="L125" s="4" t="n">
        <v>4.8</v>
      </c>
      <c r="M125" s="4" t="n">
        <v>914544.17</v>
      </c>
      <c r="N125" s="4" t="n">
        <v>79831.73</v>
      </c>
    </row>
    <row r="126" customFormat="false" ht="15" hidden="false" customHeight="true" outlineLevel="0" collapsed="false">
      <c r="A126" s="4" t="s">
        <v>54</v>
      </c>
      <c r="B126" s="5" t="n">
        <v>45689</v>
      </c>
      <c r="C126" s="4" t="s">
        <v>25</v>
      </c>
      <c r="D126" s="4" t="s">
        <v>19</v>
      </c>
      <c r="E126" s="4" t="n">
        <v>44747</v>
      </c>
      <c r="F126" s="4" t="n">
        <v>11076</v>
      </c>
      <c r="G126" s="4" t="n">
        <v>0.176</v>
      </c>
      <c r="H126" s="4" t="n">
        <v>27</v>
      </c>
      <c r="I126" s="4" t="n">
        <v>98.3</v>
      </c>
      <c r="J126" s="4" t="n">
        <v>0.54</v>
      </c>
      <c r="K126" s="4" t="n">
        <v>0</v>
      </c>
      <c r="L126" s="4" t="n">
        <v>4.4</v>
      </c>
      <c r="M126" s="4" t="n">
        <v>842439.67</v>
      </c>
      <c r="N126" s="4" t="n">
        <v>169983.63</v>
      </c>
    </row>
    <row r="127" customFormat="false" ht="15" hidden="false" customHeight="true" outlineLevel="0" collapsed="false">
      <c r="A127" s="4" t="s">
        <v>54</v>
      </c>
      <c r="B127" s="5" t="n">
        <v>45717</v>
      </c>
      <c r="C127" s="4" t="s">
        <v>25</v>
      </c>
      <c r="D127" s="4" t="s">
        <v>19</v>
      </c>
      <c r="E127" s="4" t="n">
        <v>56517.9</v>
      </c>
      <c r="F127" s="4" t="n">
        <v>9574</v>
      </c>
      <c r="G127" s="4" t="n">
        <v>0.204</v>
      </c>
      <c r="H127" s="4" t="n">
        <v>20</v>
      </c>
      <c r="I127" s="4" t="n">
        <v>88.2</v>
      </c>
      <c r="J127" s="4" t="n">
        <v>5.37</v>
      </c>
      <c r="K127" s="4" t="n">
        <v>1</v>
      </c>
      <c r="L127" s="4" t="n">
        <v>4.9</v>
      </c>
      <c r="M127" s="4" t="n">
        <v>842157.92</v>
      </c>
      <c r="N127" s="4" t="n">
        <v>107348.22</v>
      </c>
    </row>
    <row r="128" customFormat="false" ht="15" hidden="false" customHeight="true" outlineLevel="0" collapsed="false">
      <c r="A128" s="4" t="s">
        <v>54</v>
      </c>
      <c r="B128" s="5" t="n">
        <v>45748</v>
      </c>
      <c r="C128" s="4" t="s">
        <v>25</v>
      </c>
      <c r="D128" s="4" t="s">
        <v>19</v>
      </c>
      <c r="E128" s="4" t="n">
        <v>37828.5</v>
      </c>
      <c r="F128" s="4" t="n">
        <v>8221</v>
      </c>
      <c r="G128" s="4" t="n">
        <v>0.096</v>
      </c>
      <c r="H128" s="4" t="n">
        <v>19</v>
      </c>
      <c r="I128" s="4" t="n">
        <v>81.5</v>
      </c>
      <c r="J128" s="4" t="n">
        <v>3.19</v>
      </c>
      <c r="K128" s="4" t="n">
        <v>0</v>
      </c>
      <c r="L128" s="4" t="n">
        <v>4.8</v>
      </c>
      <c r="M128" s="4" t="n">
        <v>697155.3</v>
      </c>
      <c r="N128" s="4" t="n">
        <v>136408.54</v>
      </c>
    </row>
    <row r="129" customFormat="false" ht="15" hidden="false" customHeight="true" outlineLevel="0" collapsed="false">
      <c r="A129" s="4" t="s">
        <v>55</v>
      </c>
      <c r="B129" s="5" t="n">
        <v>45658</v>
      </c>
      <c r="C129" s="4" t="s">
        <v>16</v>
      </c>
      <c r="D129" s="4" t="s">
        <v>19</v>
      </c>
      <c r="E129" s="4" t="n">
        <v>66250.53</v>
      </c>
      <c r="F129" s="4" t="n">
        <v>10618</v>
      </c>
      <c r="G129" s="4" t="n">
        <v>0.142</v>
      </c>
      <c r="H129" s="4" t="n">
        <v>27</v>
      </c>
      <c r="I129" s="4" t="n">
        <v>88.3</v>
      </c>
      <c r="J129" s="4" t="n">
        <v>1.1</v>
      </c>
      <c r="K129" s="4" t="n">
        <v>1</v>
      </c>
      <c r="L129" s="4" t="n">
        <v>4.4</v>
      </c>
      <c r="M129" s="4" t="n">
        <v>849018.3</v>
      </c>
      <c r="N129" s="4" t="n">
        <v>149035.13</v>
      </c>
    </row>
    <row r="130" customFormat="false" ht="15" hidden="false" customHeight="true" outlineLevel="0" collapsed="false">
      <c r="A130" s="4" t="s">
        <v>55</v>
      </c>
      <c r="B130" s="5" t="n">
        <v>45689</v>
      </c>
      <c r="C130" s="4" t="s">
        <v>16</v>
      </c>
      <c r="D130" s="4" t="s">
        <v>19</v>
      </c>
      <c r="E130" s="4" t="n">
        <v>68410.93</v>
      </c>
      <c r="F130" s="4" t="n">
        <v>10596</v>
      </c>
      <c r="G130" s="4" t="n">
        <v>0.207</v>
      </c>
      <c r="H130" s="4" t="n">
        <v>25</v>
      </c>
      <c r="I130" s="4" t="n">
        <v>81.2</v>
      </c>
      <c r="J130" s="4" t="n">
        <v>0.21</v>
      </c>
      <c r="K130" s="4" t="n">
        <v>0</v>
      </c>
      <c r="L130" s="4" t="n">
        <v>4</v>
      </c>
      <c r="M130" s="4" t="n">
        <v>801830.35</v>
      </c>
      <c r="N130" s="4" t="n">
        <v>114875.32</v>
      </c>
    </row>
    <row r="131" customFormat="false" ht="15" hidden="false" customHeight="true" outlineLevel="0" collapsed="false">
      <c r="A131" s="4" t="s">
        <v>55</v>
      </c>
      <c r="B131" s="5" t="n">
        <v>45717</v>
      </c>
      <c r="C131" s="4" t="s">
        <v>16</v>
      </c>
      <c r="D131" s="4" t="s">
        <v>19</v>
      </c>
      <c r="E131" s="4" t="n">
        <v>50735.63</v>
      </c>
      <c r="F131" s="4" t="n">
        <v>9619</v>
      </c>
      <c r="G131" s="4" t="n">
        <v>0.144</v>
      </c>
      <c r="H131" s="4" t="n">
        <v>19</v>
      </c>
      <c r="I131" s="4" t="n">
        <v>93.8</v>
      </c>
      <c r="J131" s="4" t="n">
        <v>5.12</v>
      </c>
      <c r="K131" s="4" t="n">
        <v>1</v>
      </c>
      <c r="L131" s="4" t="n">
        <v>4.5</v>
      </c>
      <c r="M131" s="4" t="n">
        <v>725235.28</v>
      </c>
      <c r="N131" s="4" t="n">
        <v>121632.24</v>
      </c>
    </row>
    <row r="132" customFormat="false" ht="15" hidden="false" customHeight="true" outlineLevel="0" collapsed="false">
      <c r="A132" s="4" t="s">
        <v>55</v>
      </c>
      <c r="B132" s="5" t="n">
        <v>45748</v>
      </c>
      <c r="C132" s="4" t="s">
        <v>16</v>
      </c>
      <c r="D132" s="4" t="s">
        <v>19</v>
      </c>
      <c r="E132" s="4" t="n">
        <v>66455.8</v>
      </c>
      <c r="F132" s="4" t="n">
        <v>10836</v>
      </c>
      <c r="G132" s="4" t="n">
        <v>0.089</v>
      </c>
      <c r="H132" s="4" t="n">
        <v>25</v>
      </c>
      <c r="I132" s="4" t="n">
        <v>85</v>
      </c>
      <c r="J132" s="4" t="n">
        <v>9.77</v>
      </c>
      <c r="K132" s="4" t="n">
        <v>0</v>
      </c>
      <c r="L132" s="4" t="n">
        <v>4.5</v>
      </c>
      <c r="M132" s="4" t="n">
        <v>811452.72</v>
      </c>
      <c r="N132" s="4" t="n">
        <v>131325.67</v>
      </c>
    </row>
    <row r="133" customFormat="false" ht="15" hidden="false" customHeight="true" outlineLevel="0" collapsed="false">
      <c r="A133" s="4" t="s">
        <v>56</v>
      </c>
      <c r="B133" s="5" t="n">
        <v>45658</v>
      </c>
      <c r="C133" s="4" t="s">
        <v>21</v>
      </c>
      <c r="D133" s="4" t="s">
        <v>19</v>
      </c>
      <c r="E133" s="4" t="n">
        <v>70276.28</v>
      </c>
      <c r="F133" s="4" t="n">
        <v>3043</v>
      </c>
      <c r="G133" s="4" t="n">
        <v>0.079</v>
      </c>
      <c r="H133" s="4" t="n">
        <v>9</v>
      </c>
      <c r="I133" s="4" t="n">
        <v>87.9</v>
      </c>
      <c r="J133" s="4" t="n">
        <v>3.77</v>
      </c>
      <c r="K133" s="4" t="n">
        <v>0</v>
      </c>
      <c r="L133" s="4" t="n">
        <v>4.4</v>
      </c>
      <c r="M133" s="4" t="n">
        <v>527300.13</v>
      </c>
      <c r="N133" s="4" t="n">
        <v>84197.87</v>
      </c>
    </row>
    <row r="134" customFormat="false" ht="15" hidden="false" customHeight="true" outlineLevel="0" collapsed="false">
      <c r="A134" s="4" t="s">
        <v>56</v>
      </c>
      <c r="B134" s="5" t="n">
        <v>45717</v>
      </c>
      <c r="C134" s="4" t="s">
        <v>21</v>
      </c>
      <c r="D134" s="4" t="s">
        <v>19</v>
      </c>
      <c r="E134" s="4" t="n">
        <v>52285.45</v>
      </c>
      <c r="F134" s="4" t="n">
        <v>3618</v>
      </c>
      <c r="G134" s="4" t="n">
        <v>0.086</v>
      </c>
      <c r="H134" s="4" t="n">
        <v>11</v>
      </c>
      <c r="I134" s="4" t="n">
        <v>95.6</v>
      </c>
      <c r="J134" s="4" t="n">
        <v>5.17</v>
      </c>
      <c r="K134" s="4" t="n">
        <v>1</v>
      </c>
      <c r="L134" s="4" t="n">
        <v>4.4</v>
      </c>
      <c r="M134" s="4" t="n">
        <v>593247.25</v>
      </c>
      <c r="N134" s="4" t="n">
        <v>81240.29</v>
      </c>
    </row>
    <row r="135" customFormat="false" ht="15" hidden="false" customHeight="true" outlineLevel="0" collapsed="false">
      <c r="A135" s="4" t="s">
        <v>56</v>
      </c>
      <c r="B135" s="5" t="n">
        <v>45748</v>
      </c>
      <c r="C135" s="4" t="s">
        <v>21</v>
      </c>
      <c r="D135" s="4" t="s">
        <v>19</v>
      </c>
      <c r="E135" s="4" t="n">
        <v>70366.76</v>
      </c>
      <c r="F135" s="4" t="n">
        <v>1963</v>
      </c>
      <c r="G135" s="4" t="n">
        <v>0.182</v>
      </c>
      <c r="H135" s="4" t="n">
        <v>8</v>
      </c>
      <c r="I135" s="4" t="n">
        <v>89.8</v>
      </c>
      <c r="J135" s="4" t="n">
        <v>3.2</v>
      </c>
      <c r="K135" s="4" t="n">
        <v>0</v>
      </c>
      <c r="L135" s="4" t="n">
        <v>4.6</v>
      </c>
      <c r="M135" s="4" t="n">
        <v>529075.95</v>
      </c>
      <c r="N135" s="4" t="n">
        <v>95978.83</v>
      </c>
    </row>
    <row r="136" customFormat="false" ht="15" hidden="false" customHeight="true" outlineLevel="0" collapsed="false">
      <c r="A136" s="4" t="s">
        <v>57</v>
      </c>
      <c r="B136" s="5" t="n">
        <v>45689</v>
      </c>
      <c r="C136" s="4" t="s">
        <v>25</v>
      </c>
      <c r="D136" s="4" t="s">
        <v>17</v>
      </c>
      <c r="E136" s="4" t="n">
        <v>75109.67</v>
      </c>
      <c r="F136" s="4" t="n">
        <v>6244</v>
      </c>
      <c r="G136" s="4" t="n">
        <v>0.079</v>
      </c>
      <c r="H136" s="4" t="n">
        <v>15</v>
      </c>
      <c r="I136" s="4" t="n">
        <v>96.3</v>
      </c>
      <c r="J136" s="4" t="n">
        <v>7.38</v>
      </c>
      <c r="K136" s="4" t="n">
        <v>0</v>
      </c>
      <c r="L136" s="4" t="n">
        <v>3.7</v>
      </c>
      <c r="M136" s="4" t="n">
        <v>743348.84</v>
      </c>
      <c r="N136" s="4" t="n">
        <v>104186.09</v>
      </c>
    </row>
    <row r="137" customFormat="false" ht="15" hidden="false" customHeight="true" outlineLevel="0" collapsed="false">
      <c r="A137" s="4" t="s">
        <v>57</v>
      </c>
      <c r="B137" s="5" t="n">
        <v>45717</v>
      </c>
      <c r="C137" s="4" t="s">
        <v>25</v>
      </c>
      <c r="D137" s="4" t="s">
        <v>17</v>
      </c>
      <c r="E137" s="4" t="n">
        <v>69779</v>
      </c>
      <c r="F137" s="4" t="n">
        <v>6544</v>
      </c>
      <c r="G137" s="4" t="n">
        <v>0.152</v>
      </c>
      <c r="H137" s="4" t="n">
        <v>18</v>
      </c>
      <c r="I137" s="4" t="n">
        <v>90.2</v>
      </c>
      <c r="J137" s="4" t="n">
        <v>0.85</v>
      </c>
      <c r="K137" s="4" t="n">
        <v>1</v>
      </c>
      <c r="L137" s="4" t="n">
        <v>3.3</v>
      </c>
      <c r="M137" s="4" t="n">
        <v>758827.64</v>
      </c>
      <c r="N137" s="4" t="n">
        <v>161439.48</v>
      </c>
    </row>
    <row r="138" customFormat="false" ht="15" hidden="false" customHeight="true" outlineLevel="0" collapsed="false">
      <c r="A138" s="4" t="s">
        <v>57</v>
      </c>
      <c r="B138" s="5" t="n">
        <v>45748</v>
      </c>
      <c r="C138" s="4" t="s">
        <v>25</v>
      </c>
      <c r="D138" s="4" t="s">
        <v>17</v>
      </c>
      <c r="E138" s="4" t="n">
        <v>44211.95</v>
      </c>
      <c r="F138" s="4" t="n">
        <v>5465</v>
      </c>
      <c r="G138" s="4" t="n">
        <v>0.187</v>
      </c>
      <c r="H138" s="4" t="n">
        <v>12</v>
      </c>
      <c r="I138" s="4" t="n">
        <v>90</v>
      </c>
      <c r="J138" s="4" t="n">
        <v>2.89</v>
      </c>
      <c r="K138" s="4" t="n">
        <v>0</v>
      </c>
      <c r="L138" s="4" t="n">
        <v>3.6</v>
      </c>
      <c r="M138" s="4" t="n">
        <v>646559.71</v>
      </c>
      <c r="N138" s="4" t="n">
        <v>97981.75</v>
      </c>
    </row>
    <row r="139" customFormat="false" ht="15" hidden="false" customHeight="true" outlineLevel="0" collapsed="false">
      <c r="A139" s="4" t="s">
        <v>58</v>
      </c>
      <c r="B139" s="5" t="n">
        <v>45658</v>
      </c>
      <c r="C139" s="4" t="s">
        <v>28</v>
      </c>
      <c r="D139" s="4" t="s">
        <v>19</v>
      </c>
      <c r="E139" s="4" t="n">
        <v>51430.31</v>
      </c>
      <c r="F139" s="4" t="n">
        <v>6427</v>
      </c>
      <c r="G139" s="4" t="n">
        <v>0.234</v>
      </c>
      <c r="H139" s="4" t="n">
        <v>14</v>
      </c>
      <c r="I139" s="4" t="n">
        <v>88.8</v>
      </c>
      <c r="J139" s="4" t="n">
        <v>0.77</v>
      </c>
      <c r="K139" s="4" t="n">
        <v>0</v>
      </c>
      <c r="L139" s="4" t="n">
        <v>4.1</v>
      </c>
      <c r="M139" s="4" t="n">
        <v>715890.53</v>
      </c>
      <c r="N139" s="4" t="n">
        <v>109032.15</v>
      </c>
    </row>
    <row r="140" customFormat="false" ht="15" hidden="false" customHeight="true" outlineLevel="0" collapsed="false">
      <c r="A140" s="4" t="s">
        <v>58</v>
      </c>
      <c r="B140" s="5" t="n">
        <v>45689</v>
      </c>
      <c r="C140" s="4" t="s">
        <v>28</v>
      </c>
      <c r="D140" s="4" t="s">
        <v>19</v>
      </c>
      <c r="E140" s="4" t="n">
        <v>45706.49</v>
      </c>
      <c r="F140" s="4" t="n">
        <v>6704</v>
      </c>
      <c r="G140" s="4" t="n">
        <v>0.038</v>
      </c>
      <c r="H140" s="4" t="n">
        <v>15</v>
      </c>
      <c r="I140" s="4" t="n">
        <v>94.2</v>
      </c>
      <c r="J140" s="4" t="n">
        <v>2.92</v>
      </c>
      <c r="K140" s="4" t="n">
        <v>0</v>
      </c>
      <c r="L140" s="4" t="n">
        <v>4.2</v>
      </c>
      <c r="M140" s="4" t="n">
        <v>715097.57</v>
      </c>
      <c r="N140" s="4" t="n">
        <v>151875.86</v>
      </c>
    </row>
    <row r="141" customFormat="false" ht="15" hidden="false" customHeight="true" outlineLevel="0" collapsed="false">
      <c r="A141" s="4" t="s">
        <v>58</v>
      </c>
      <c r="B141" s="5" t="n">
        <v>45717</v>
      </c>
      <c r="C141" s="4" t="s">
        <v>28</v>
      </c>
      <c r="D141" s="4" t="s">
        <v>19</v>
      </c>
      <c r="E141" s="4" t="n">
        <v>44034.6</v>
      </c>
      <c r="F141" s="4" t="n">
        <v>5645</v>
      </c>
      <c r="G141" s="4" t="n">
        <v>0.069</v>
      </c>
      <c r="H141" s="4" t="n">
        <v>18</v>
      </c>
      <c r="I141" s="4" t="n">
        <v>88.5</v>
      </c>
      <c r="J141" s="4" t="n">
        <v>3.07</v>
      </c>
      <c r="K141" s="4" t="n">
        <v>0</v>
      </c>
      <c r="L141" s="4" t="n">
        <v>3.8</v>
      </c>
      <c r="M141" s="4" t="n">
        <v>682639.28</v>
      </c>
      <c r="N141" s="4" t="n">
        <v>77557.53</v>
      </c>
    </row>
    <row r="142" customFormat="false" ht="15" hidden="false" customHeight="true" outlineLevel="0" collapsed="false">
      <c r="A142" s="4" t="s">
        <v>58</v>
      </c>
      <c r="B142" s="5" t="n">
        <v>45748</v>
      </c>
      <c r="C142" s="4" t="s">
        <v>28</v>
      </c>
      <c r="D142" s="4" t="s">
        <v>19</v>
      </c>
      <c r="E142" s="4" t="n">
        <v>50198.12</v>
      </c>
      <c r="F142" s="4" t="n">
        <v>6089</v>
      </c>
      <c r="G142" s="4" t="n">
        <v>0.182</v>
      </c>
      <c r="H142" s="4" t="n">
        <v>19</v>
      </c>
      <c r="I142" s="4" t="n">
        <v>94</v>
      </c>
      <c r="J142" s="4" t="n">
        <v>9.7</v>
      </c>
      <c r="K142" s="4" t="n">
        <v>0</v>
      </c>
      <c r="L142" s="4" t="n">
        <v>3.9</v>
      </c>
      <c r="M142" s="4" t="n">
        <v>695098.51</v>
      </c>
      <c r="N142" s="4" t="n">
        <v>108192.75</v>
      </c>
    </row>
    <row r="143" customFormat="false" ht="15" hidden="false" customHeight="true" outlineLevel="0" collapsed="false">
      <c r="A143" s="4" t="s">
        <v>59</v>
      </c>
      <c r="B143" s="5" t="n">
        <v>45658</v>
      </c>
      <c r="C143" s="4" t="s">
        <v>21</v>
      </c>
      <c r="D143" s="4" t="s">
        <v>17</v>
      </c>
      <c r="E143" s="4" t="n">
        <v>70488.2</v>
      </c>
      <c r="F143" s="4" t="n">
        <v>4312</v>
      </c>
      <c r="G143" s="4" t="n">
        <v>0.169</v>
      </c>
      <c r="H143" s="4" t="n">
        <v>12</v>
      </c>
      <c r="I143" s="4" t="n">
        <v>90.2</v>
      </c>
      <c r="J143" s="4" t="n">
        <v>3.71</v>
      </c>
      <c r="K143" s="4" t="n">
        <v>0</v>
      </c>
      <c r="L143" s="4" t="n">
        <v>3.2</v>
      </c>
      <c r="M143" s="4" t="n">
        <v>577732.57</v>
      </c>
      <c r="N143" s="4" t="n">
        <v>93804.27</v>
      </c>
    </row>
    <row r="144" customFormat="false" ht="15" hidden="false" customHeight="true" outlineLevel="0" collapsed="false">
      <c r="A144" s="4" t="s">
        <v>59</v>
      </c>
      <c r="B144" s="5" t="n">
        <v>45689</v>
      </c>
      <c r="C144" s="4" t="s">
        <v>21</v>
      </c>
      <c r="D144" s="4" t="s">
        <v>17</v>
      </c>
      <c r="E144" s="4" t="n">
        <v>50909.27</v>
      </c>
      <c r="F144" s="4" t="n">
        <v>3152</v>
      </c>
      <c r="G144" s="4" t="n">
        <v>0.06</v>
      </c>
      <c r="H144" s="4" t="n">
        <v>13</v>
      </c>
      <c r="I144" s="4" t="n">
        <v>93.7</v>
      </c>
      <c r="J144" s="4" t="n">
        <v>10.79</v>
      </c>
      <c r="K144" s="4" t="n">
        <v>0</v>
      </c>
      <c r="L144" s="4" t="n">
        <v>3.5</v>
      </c>
      <c r="M144" s="4" t="n">
        <v>537058.33</v>
      </c>
      <c r="N144" s="4" t="n">
        <v>93555.71</v>
      </c>
    </row>
    <row r="145" customFormat="false" ht="15" hidden="false" customHeight="true" outlineLevel="0" collapsed="false">
      <c r="A145" s="4" t="s">
        <v>59</v>
      </c>
      <c r="B145" s="5" t="n">
        <v>45717</v>
      </c>
      <c r="C145" s="4" t="s">
        <v>21</v>
      </c>
      <c r="D145" s="4" t="s">
        <v>17</v>
      </c>
      <c r="E145" s="4" t="n">
        <v>53351.7</v>
      </c>
      <c r="F145" s="4" t="n">
        <v>4259</v>
      </c>
      <c r="G145" s="4" t="n">
        <v>0.156</v>
      </c>
      <c r="H145" s="4" t="n">
        <v>15</v>
      </c>
      <c r="I145" s="4" t="n">
        <v>93.7</v>
      </c>
      <c r="J145" s="4" t="n">
        <v>6.03</v>
      </c>
      <c r="K145" s="4" t="n">
        <v>0</v>
      </c>
      <c r="L145" s="4" t="n">
        <v>3.4</v>
      </c>
      <c r="M145" s="4" t="n">
        <v>601568.87</v>
      </c>
      <c r="N145" s="4" t="n">
        <v>91634.82</v>
      </c>
    </row>
    <row r="146" customFormat="false" ht="15" hidden="false" customHeight="true" outlineLevel="0" collapsed="false">
      <c r="A146" s="4" t="s">
        <v>59</v>
      </c>
      <c r="B146" s="5" t="n">
        <v>45748</v>
      </c>
      <c r="C146" s="4" t="s">
        <v>21</v>
      </c>
      <c r="D146" s="4" t="s">
        <v>17</v>
      </c>
      <c r="E146" s="4" t="n">
        <v>60322.4</v>
      </c>
      <c r="F146" s="4" t="n">
        <v>3350</v>
      </c>
      <c r="G146" s="4" t="n">
        <v>0.108</v>
      </c>
      <c r="H146" s="4" t="n">
        <v>12</v>
      </c>
      <c r="I146" s="4" t="n">
        <v>89.4</v>
      </c>
      <c r="J146" s="4" t="n">
        <v>4.92</v>
      </c>
      <c r="K146" s="4" t="n">
        <v>0</v>
      </c>
      <c r="L146" s="4" t="n">
        <v>3.4</v>
      </c>
      <c r="M146" s="4" t="n">
        <v>570964.84</v>
      </c>
      <c r="N146" s="4" t="n">
        <v>81331.07</v>
      </c>
    </row>
    <row r="147" customFormat="false" ht="15" hidden="false" customHeight="true" outlineLevel="0" collapsed="false">
      <c r="A147" s="4" t="s">
        <v>60</v>
      </c>
      <c r="B147" s="5" t="n">
        <v>45658</v>
      </c>
      <c r="C147" s="4" t="s">
        <v>25</v>
      </c>
      <c r="D147" s="4" t="s">
        <v>29</v>
      </c>
      <c r="E147" s="4" t="n">
        <v>51575.68</v>
      </c>
      <c r="F147" s="4" t="n">
        <v>5329</v>
      </c>
      <c r="G147" s="4" t="n">
        <v>0.047</v>
      </c>
      <c r="H147" s="4" t="n">
        <v>17</v>
      </c>
      <c r="I147" s="4" t="n">
        <v>88.1</v>
      </c>
      <c r="J147" s="4" t="n">
        <v>19.78</v>
      </c>
      <c r="K147" s="4" t="n">
        <v>0</v>
      </c>
      <c r="L147" s="4" t="n">
        <v>3.8</v>
      </c>
      <c r="M147" s="4" t="n">
        <v>614024.91</v>
      </c>
      <c r="N147" s="4" t="n">
        <v>84828.93</v>
      </c>
    </row>
    <row r="148" customFormat="false" ht="15" hidden="false" customHeight="true" outlineLevel="0" collapsed="false">
      <c r="A148" s="4" t="s">
        <v>60</v>
      </c>
      <c r="B148" s="5" t="n">
        <v>45689</v>
      </c>
      <c r="C148" s="4" t="s">
        <v>25</v>
      </c>
      <c r="D148" s="4" t="s">
        <v>29</v>
      </c>
      <c r="E148" s="4" t="n">
        <v>43319.94</v>
      </c>
      <c r="F148" s="4" t="n">
        <v>6551</v>
      </c>
      <c r="G148" s="4" t="n">
        <v>0.044</v>
      </c>
      <c r="H148" s="4" t="n">
        <v>13</v>
      </c>
      <c r="I148" s="4" t="n">
        <v>99</v>
      </c>
      <c r="J148" s="4" t="n">
        <v>5.45</v>
      </c>
      <c r="K148" s="4" t="n">
        <v>0</v>
      </c>
      <c r="L148" s="4" t="n">
        <v>4.1</v>
      </c>
      <c r="M148" s="4" t="n">
        <v>712868.35</v>
      </c>
      <c r="N148" s="4" t="n">
        <v>133650.51</v>
      </c>
    </row>
    <row r="149" customFormat="false" ht="15" hidden="false" customHeight="true" outlineLevel="0" collapsed="false">
      <c r="A149" s="4" t="s">
        <v>60</v>
      </c>
      <c r="B149" s="5" t="n">
        <v>45717</v>
      </c>
      <c r="C149" s="4" t="s">
        <v>25</v>
      </c>
      <c r="D149" s="4" t="s">
        <v>29</v>
      </c>
      <c r="E149" s="4" t="n">
        <v>47093.55</v>
      </c>
      <c r="F149" s="4" t="n">
        <v>5550</v>
      </c>
      <c r="G149" s="4" t="n">
        <v>0.1</v>
      </c>
      <c r="H149" s="4" t="n">
        <v>12</v>
      </c>
      <c r="I149" s="4" t="n">
        <v>95</v>
      </c>
      <c r="J149" s="4" t="n">
        <v>2.33</v>
      </c>
      <c r="K149" s="4" t="n">
        <v>1</v>
      </c>
      <c r="L149" s="4" t="n">
        <v>3.7</v>
      </c>
      <c r="M149" s="4" t="n">
        <v>696744.15</v>
      </c>
      <c r="N149" s="4" t="n">
        <v>152230.09</v>
      </c>
    </row>
    <row r="150" customFormat="false" ht="15" hidden="false" customHeight="true" outlineLevel="0" collapsed="false">
      <c r="A150" s="4" t="s">
        <v>60</v>
      </c>
      <c r="B150" s="5" t="n">
        <v>45748</v>
      </c>
      <c r="C150" s="4" t="s">
        <v>25</v>
      </c>
      <c r="D150" s="4" t="s">
        <v>29</v>
      </c>
      <c r="E150" s="4" t="n">
        <v>71855.09</v>
      </c>
      <c r="F150" s="4" t="n">
        <v>5911</v>
      </c>
      <c r="G150" s="4" t="n">
        <v>0.197</v>
      </c>
      <c r="H150" s="4" t="n">
        <v>15</v>
      </c>
      <c r="I150" s="4" t="n">
        <v>94.3</v>
      </c>
      <c r="J150" s="4" t="n">
        <v>3.55</v>
      </c>
      <c r="K150" s="4" t="n">
        <v>0</v>
      </c>
      <c r="L150" s="4" t="n">
        <v>4.1</v>
      </c>
      <c r="M150" s="4" t="n">
        <v>725847.99</v>
      </c>
      <c r="N150" s="4" t="n">
        <v>122698.73</v>
      </c>
    </row>
    <row r="151" customFormat="false" ht="15" hidden="false" customHeight="true" outlineLevel="0" collapsed="false">
      <c r="A151" s="4" t="s">
        <v>61</v>
      </c>
      <c r="B151" s="5" t="n">
        <v>45658</v>
      </c>
      <c r="C151" s="4" t="s">
        <v>16</v>
      </c>
      <c r="D151" s="4" t="s">
        <v>19</v>
      </c>
      <c r="E151" s="4" t="n">
        <v>75645.23</v>
      </c>
      <c r="F151" s="4" t="n">
        <v>9674</v>
      </c>
      <c r="G151" s="4" t="n">
        <v>0.234</v>
      </c>
      <c r="H151" s="4" t="n">
        <v>21</v>
      </c>
      <c r="I151" s="4" t="n">
        <v>87.4</v>
      </c>
      <c r="J151" s="4" t="n">
        <v>0.2</v>
      </c>
      <c r="K151" s="4" t="n">
        <v>0</v>
      </c>
      <c r="L151" s="4" t="n">
        <v>4.5</v>
      </c>
      <c r="M151" s="4" t="n">
        <v>785028.25</v>
      </c>
      <c r="N151" s="4" t="n">
        <v>110726.44</v>
      </c>
    </row>
    <row r="152" customFormat="false" ht="15" hidden="false" customHeight="true" outlineLevel="0" collapsed="false">
      <c r="A152" s="4" t="s">
        <v>61</v>
      </c>
      <c r="B152" s="5" t="n">
        <v>45689</v>
      </c>
      <c r="C152" s="4" t="s">
        <v>16</v>
      </c>
      <c r="D152" s="4" t="s">
        <v>19</v>
      </c>
      <c r="E152" s="4" t="n">
        <v>64374.75</v>
      </c>
      <c r="F152" s="4" t="n">
        <v>6740</v>
      </c>
      <c r="G152" s="4" t="n">
        <v>0.169</v>
      </c>
      <c r="H152" s="4" t="n">
        <v>18</v>
      </c>
      <c r="I152" s="4" t="n">
        <v>87</v>
      </c>
      <c r="J152" s="4" t="n">
        <v>2.09</v>
      </c>
      <c r="K152" s="4" t="n">
        <v>0</v>
      </c>
      <c r="L152" s="4" t="n">
        <v>4.2</v>
      </c>
      <c r="M152" s="4" t="n">
        <v>698492.67</v>
      </c>
      <c r="N152" s="4" t="n">
        <v>117319.32</v>
      </c>
    </row>
    <row r="153" customFormat="false" ht="15" hidden="false" customHeight="true" outlineLevel="0" collapsed="false">
      <c r="A153" s="4" t="s">
        <v>61</v>
      </c>
      <c r="B153" s="5" t="n">
        <v>45717</v>
      </c>
      <c r="C153" s="4" t="s">
        <v>16</v>
      </c>
      <c r="D153" s="4" t="s">
        <v>19</v>
      </c>
      <c r="E153" s="4" t="n">
        <v>61433.84</v>
      </c>
      <c r="F153" s="4" t="n">
        <v>7745</v>
      </c>
      <c r="G153" s="4" t="n">
        <v>0.18</v>
      </c>
      <c r="H153" s="4" t="n">
        <v>16</v>
      </c>
      <c r="I153" s="4" t="n">
        <v>90.5</v>
      </c>
      <c r="J153" s="4" t="n">
        <v>2.26</v>
      </c>
      <c r="K153" s="4" t="n">
        <v>0</v>
      </c>
      <c r="L153" s="4" t="n">
        <v>4.2</v>
      </c>
      <c r="M153" s="4" t="n">
        <v>685830.24</v>
      </c>
      <c r="N153" s="4" t="n">
        <v>128736.18</v>
      </c>
    </row>
    <row r="154" customFormat="false" ht="15" hidden="false" customHeight="true" outlineLevel="0" collapsed="false">
      <c r="A154" s="4" t="s">
        <v>61</v>
      </c>
      <c r="B154" s="5" t="n">
        <v>45748</v>
      </c>
      <c r="C154" s="4" t="s">
        <v>16</v>
      </c>
      <c r="D154" s="4" t="s">
        <v>19</v>
      </c>
      <c r="E154" s="4" t="n">
        <v>42698.14</v>
      </c>
      <c r="F154" s="4" t="n">
        <v>7693</v>
      </c>
      <c r="G154" s="4" t="n">
        <v>0.187</v>
      </c>
      <c r="H154" s="4" t="n">
        <v>19</v>
      </c>
      <c r="I154" s="4" t="n">
        <v>90.1</v>
      </c>
      <c r="J154" s="4" t="n">
        <v>0.44</v>
      </c>
      <c r="K154" s="4" t="n">
        <v>0</v>
      </c>
      <c r="L154" s="4" t="n">
        <v>4.4</v>
      </c>
      <c r="M154" s="4" t="n">
        <v>702318.94</v>
      </c>
      <c r="N154" s="4" t="n">
        <v>112829.29</v>
      </c>
    </row>
    <row r="155" customFormat="false" ht="15" hidden="false" customHeight="true" outlineLevel="0" collapsed="false">
      <c r="A155" s="4" t="s">
        <v>62</v>
      </c>
      <c r="B155" s="5" t="n">
        <v>45658</v>
      </c>
      <c r="C155" s="4" t="s">
        <v>21</v>
      </c>
      <c r="D155" s="4" t="s">
        <v>29</v>
      </c>
      <c r="E155" s="4" t="n">
        <v>86883.31</v>
      </c>
      <c r="F155" s="4" t="n">
        <v>6424</v>
      </c>
      <c r="G155" s="4" t="n">
        <v>0.057</v>
      </c>
      <c r="H155" s="4" t="n">
        <v>19</v>
      </c>
      <c r="I155" s="4" t="n">
        <v>85.2</v>
      </c>
      <c r="J155" s="4" t="n">
        <v>3.08</v>
      </c>
      <c r="K155" s="4" t="n">
        <v>0</v>
      </c>
      <c r="L155" s="4" t="n">
        <v>3.9</v>
      </c>
      <c r="M155" s="4" t="n">
        <v>700078.32</v>
      </c>
      <c r="N155" s="4" t="n">
        <v>123707.58</v>
      </c>
    </row>
    <row r="156" customFormat="false" ht="15" hidden="false" customHeight="true" outlineLevel="0" collapsed="false">
      <c r="A156" s="4" t="s">
        <v>62</v>
      </c>
      <c r="B156" s="5" t="n">
        <v>45689</v>
      </c>
      <c r="C156" s="4" t="s">
        <v>21</v>
      </c>
      <c r="D156" s="4" t="s">
        <v>29</v>
      </c>
      <c r="E156" s="4" t="n">
        <v>41863.08</v>
      </c>
      <c r="F156" s="4" t="n">
        <v>5400</v>
      </c>
      <c r="G156" s="4" t="n">
        <v>0.114</v>
      </c>
      <c r="H156" s="4" t="n">
        <v>11</v>
      </c>
      <c r="I156" s="4" t="n">
        <v>91.6</v>
      </c>
      <c r="J156" s="4" t="n">
        <v>7.99</v>
      </c>
      <c r="K156" s="4" t="n">
        <v>0</v>
      </c>
      <c r="L156" s="4" t="n">
        <v>3</v>
      </c>
      <c r="M156" s="4" t="n">
        <v>602002.32</v>
      </c>
      <c r="N156" s="4" t="n">
        <v>110453.28</v>
      </c>
    </row>
    <row r="157" customFormat="false" ht="15" hidden="false" customHeight="true" outlineLevel="0" collapsed="false">
      <c r="A157" s="4" t="s">
        <v>62</v>
      </c>
      <c r="B157" s="5" t="n">
        <v>45717</v>
      </c>
      <c r="C157" s="4" t="s">
        <v>21</v>
      </c>
      <c r="D157" s="4" t="s">
        <v>29</v>
      </c>
      <c r="E157" s="4" t="n">
        <v>56918.16</v>
      </c>
      <c r="F157" s="4" t="n">
        <v>7015</v>
      </c>
      <c r="G157" s="4" t="n">
        <v>0.158</v>
      </c>
      <c r="H157" s="4" t="n">
        <v>18</v>
      </c>
      <c r="I157" s="4" t="n">
        <v>74.2</v>
      </c>
      <c r="J157" s="4" t="n">
        <v>0.2</v>
      </c>
      <c r="K157" s="4" t="n">
        <v>0</v>
      </c>
      <c r="L157" s="4" t="n">
        <v>3.4</v>
      </c>
      <c r="M157" s="4" t="n">
        <v>724216.07</v>
      </c>
      <c r="N157" s="4" t="n">
        <v>100627.56</v>
      </c>
    </row>
    <row r="158" customFormat="false" ht="15" hidden="false" customHeight="true" outlineLevel="0" collapsed="false">
      <c r="A158" s="4" t="s">
        <v>62</v>
      </c>
      <c r="B158" s="5" t="n">
        <v>45748</v>
      </c>
      <c r="C158" s="4" t="s">
        <v>21</v>
      </c>
      <c r="D158" s="4" t="s">
        <v>29</v>
      </c>
      <c r="E158" s="4" t="n">
        <v>23254.57</v>
      </c>
      <c r="F158" s="4" t="n">
        <v>3847</v>
      </c>
      <c r="G158" s="4" t="n">
        <v>0.159</v>
      </c>
      <c r="H158" s="4" t="n">
        <v>12</v>
      </c>
      <c r="I158" s="4" t="n">
        <v>93</v>
      </c>
      <c r="J158" s="4" t="n">
        <v>5.46</v>
      </c>
      <c r="K158" s="4" t="n">
        <v>0</v>
      </c>
      <c r="L158" s="4" t="n">
        <v>3.3</v>
      </c>
      <c r="M158" s="4" t="n">
        <v>620973.03</v>
      </c>
      <c r="N158" s="4" t="n">
        <v>72303.85</v>
      </c>
    </row>
    <row r="159" customFormat="false" ht="15" hidden="false" customHeight="true" outlineLevel="0" collapsed="false">
      <c r="A159" s="4" t="s">
        <v>63</v>
      </c>
      <c r="B159" s="5" t="n">
        <v>45658</v>
      </c>
      <c r="C159" s="4" t="s">
        <v>25</v>
      </c>
      <c r="D159" s="4" t="s">
        <v>19</v>
      </c>
      <c r="E159" s="4" t="n">
        <v>41443.41</v>
      </c>
      <c r="F159" s="4" t="n">
        <v>7455</v>
      </c>
      <c r="G159" s="4" t="n">
        <v>0.175</v>
      </c>
      <c r="H159" s="4" t="n">
        <v>16</v>
      </c>
      <c r="I159" s="4" t="n">
        <v>90.1</v>
      </c>
      <c r="J159" s="4" t="n">
        <v>4.05</v>
      </c>
      <c r="K159" s="4" t="n">
        <v>0</v>
      </c>
      <c r="L159" s="4" t="n">
        <v>4</v>
      </c>
      <c r="M159" s="4" t="n">
        <v>650480.06</v>
      </c>
      <c r="N159" s="4" t="n">
        <v>109012.07</v>
      </c>
    </row>
    <row r="160" customFormat="false" ht="15" hidden="false" customHeight="true" outlineLevel="0" collapsed="false">
      <c r="A160" s="4" t="s">
        <v>63</v>
      </c>
      <c r="B160" s="5" t="n">
        <v>45689</v>
      </c>
      <c r="C160" s="4" t="s">
        <v>25</v>
      </c>
      <c r="D160" s="4" t="s">
        <v>19</v>
      </c>
      <c r="E160" s="4" t="n">
        <v>48438.85</v>
      </c>
      <c r="F160" s="4" t="n">
        <v>6992</v>
      </c>
      <c r="G160" s="4" t="n">
        <v>0.034</v>
      </c>
      <c r="H160" s="4" t="n">
        <v>20</v>
      </c>
      <c r="I160" s="4" t="n">
        <v>91</v>
      </c>
      <c r="J160" s="4" t="n">
        <v>4.36</v>
      </c>
      <c r="K160" s="4" t="n">
        <v>0</v>
      </c>
      <c r="L160" s="4" t="n">
        <v>4.2</v>
      </c>
      <c r="M160" s="4" t="n">
        <v>778298.88</v>
      </c>
      <c r="N160" s="4" t="n">
        <v>130076.72</v>
      </c>
    </row>
    <row r="161" customFormat="false" ht="15" hidden="false" customHeight="true" outlineLevel="0" collapsed="false">
      <c r="A161" s="4" t="s">
        <v>63</v>
      </c>
      <c r="B161" s="5" t="n">
        <v>45748</v>
      </c>
      <c r="C161" s="4" t="s">
        <v>25</v>
      </c>
      <c r="D161" s="4" t="s">
        <v>19</v>
      </c>
      <c r="E161" s="4" t="n">
        <v>66870.62</v>
      </c>
      <c r="F161" s="4" t="n">
        <v>6055</v>
      </c>
      <c r="G161" s="4" t="n">
        <v>0.075</v>
      </c>
      <c r="H161" s="4" t="n">
        <v>19</v>
      </c>
      <c r="I161" s="4" t="n">
        <v>93.8</v>
      </c>
      <c r="J161" s="4" t="n">
        <v>0.54</v>
      </c>
      <c r="K161" s="4" t="n">
        <v>0</v>
      </c>
      <c r="L161" s="4" t="n">
        <v>4.3</v>
      </c>
      <c r="M161" s="4" t="n">
        <v>692008.64</v>
      </c>
      <c r="N161" s="4" t="n">
        <v>116337.87</v>
      </c>
    </row>
    <row r="162" customFormat="false" ht="15" hidden="false" customHeight="true" outlineLevel="0" collapsed="false">
      <c r="A162" s="4" t="s">
        <v>64</v>
      </c>
      <c r="B162" s="5" t="n">
        <v>45658</v>
      </c>
      <c r="C162" s="4" t="s">
        <v>21</v>
      </c>
      <c r="D162" s="4" t="s">
        <v>29</v>
      </c>
      <c r="E162" s="4" t="n">
        <v>72150.53</v>
      </c>
      <c r="F162" s="4" t="n">
        <v>9323</v>
      </c>
      <c r="G162" s="4" t="n">
        <v>0.157</v>
      </c>
      <c r="H162" s="4" t="n">
        <v>22</v>
      </c>
      <c r="I162" s="4" t="n">
        <v>82.9</v>
      </c>
      <c r="J162" s="4" t="n">
        <v>11.37</v>
      </c>
      <c r="K162" s="4" t="n">
        <v>1</v>
      </c>
      <c r="L162" s="4" t="n">
        <v>4.3</v>
      </c>
      <c r="M162" s="4" t="n">
        <v>825797.91</v>
      </c>
      <c r="N162" s="4" t="n">
        <v>130945.24</v>
      </c>
    </row>
    <row r="163" customFormat="false" ht="15" hidden="false" customHeight="true" outlineLevel="0" collapsed="false">
      <c r="A163" s="4" t="s">
        <v>64</v>
      </c>
      <c r="B163" s="5" t="n">
        <v>45689</v>
      </c>
      <c r="C163" s="4" t="s">
        <v>21</v>
      </c>
      <c r="D163" s="4" t="s">
        <v>29</v>
      </c>
      <c r="E163" s="4" t="n">
        <v>35303.3</v>
      </c>
      <c r="F163" s="4" t="n">
        <v>8789</v>
      </c>
      <c r="G163" s="4" t="n">
        <v>0.123</v>
      </c>
      <c r="H163" s="4" t="n">
        <v>22</v>
      </c>
      <c r="I163" s="4" t="n">
        <v>86.1</v>
      </c>
      <c r="J163" s="4" t="n">
        <v>9.43</v>
      </c>
      <c r="K163" s="4" t="n">
        <v>0</v>
      </c>
      <c r="L163" s="4" t="n">
        <v>4.2</v>
      </c>
      <c r="M163" s="4" t="n">
        <v>706285.52</v>
      </c>
      <c r="N163" s="4" t="n">
        <v>138014.72</v>
      </c>
    </row>
    <row r="164" customFormat="false" ht="15" hidden="false" customHeight="true" outlineLevel="0" collapsed="false">
      <c r="A164" s="4" t="s">
        <v>64</v>
      </c>
      <c r="B164" s="5" t="n">
        <v>45717</v>
      </c>
      <c r="C164" s="4" t="s">
        <v>21</v>
      </c>
      <c r="D164" s="4" t="s">
        <v>29</v>
      </c>
      <c r="E164" s="4" t="n">
        <v>30301.86</v>
      </c>
      <c r="F164" s="4" t="n">
        <v>6939</v>
      </c>
      <c r="G164" s="4" t="n">
        <v>0.09</v>
      </c>
      <c r="H164" s="4" t="n">
        <v>16</v>
      </c>
      <c r="I164" s="4" t="n">
        <v>90.3</v>
      </c>
      <c r="J164" s="4" t="n">
        <v>3.49</v>
      </c>
      <c r="K164" s="4" t="n">
        <v>0</v>
      </c>
      <c r="L164" s="4" t="n">
        <v>4</v>
      </c>
      <c r="M164" s="4" t="n">
        <v>665534.7</v>
      </c>
      <c r="N164" s="4" t="n">
        <v>113167.73</v>
      </c>
    </row>
    <row r="165" customFormat="false" ht="15" hidden="false" customHeight="true" outlineLevel="0" collapsed="false">
      <c r="A165" s="4" t="s">
        <v>64</v>
      </c>
      <c r="B165" s="5" t="n">
        <v>45748</v>
      </c>
      <c r="C165" s="4" t="s">
        <v>21</v>
      </c>
      <c r="D165" s="4" t="s">
        <v>29</v>
      </c>
      <c r="E165" s="4" t="n">
        <v>78432.14</v>
      </c>
      <c r="F165" s="4" t="n">
        <v>9440</v>
      </c>
      <c r="G165" s="4" t="n">
        <v>0.126</v>
      </c>
      <c r="H165" s="4" t="n">
        <v>23</v>
      </c>
      <c r="I165" s="4" t="n">
        <v>89.2</v>
      </c>
      <c r="J165" s="4" t="n">
        <v>7.86</v>
      </c>
      <c r="K165" s="4" t="n">
        <v>0</v>
      </c>
      <c r="L165" s="4" t="n">
        <v>4.1</v>
      </c>
      <c r="M165" s="4" t="n">
        <v>820729.29</v>
      </c>
      <c r="N165" s="4" t="n">
        <v>159325.47</v>
      </c>
    </row>
    <row r="166" customFormat="false" ht="15" hidden="false" customHeight="true" outlineLevel="0" collapsed="false">
      <c r="A166" s="4" t="s">
        <v>65</v>
      </c>
      <c r="B166" s="5" t="n">
        <v>45658</v>
      </c>
      <c r="C166" s="4" t="s">
        <v>16</v>
      </c>
      <c r="D166" s="4" t="s">
        <v>17</v>
      </c>
      <c r="E166" s="4" t="n">
        <v>62059.18</v>
      </c>
      <c r="F166" s="4" t="n">
        <v>9374</v>
      </c>
      <c r="G166" s="4" t="n">
        <v>0.136</v>
      </c>
      <c r="H166" s="4" t="n">
        <v>25</v>
      </c>
      <c r="I166" s="4" t="n">
        <v>87.1</v>
      </c>
      <c r="J166" s="4" t="n">
        <v>12.55</v>
      </c>
      <c r="K166" s="4" t="n">
        <v>0</v>
      </c>
      <c r="L166" s="4" t="n">
        <v>4.9</v>
      </c>
      <c r="M166" s="4" t="n">
        <v>739831.73</v>
      </c>
      <c r="N166" s="4" t="n">
        <v>119490.21</v>
      </c>
    </row>
    <row r="167" customFormat="false" ht="15" hidden="false" customHeight="true" outlineLevel="0" collapsed="false">
      <c r="A167" s="4" t="s">
        <v>65</v>
      </c>
      <c r="B167" s="5" t="n">
        <v>45689</v>
      </c>
      <c r="C167" s="4" t="s">
        <v>16</v>
      </c>
      <c r="D167" s="4" t="s">
        <v>17</v>
      </c>
      <c r="E167" s="4" t="n">
        <v>32834.48</v>
      </c>
      <c r="F167" s="4" t="n">
        <v>7576</v>
      </c>
      <c r="G167" s="4" t="n">
        <v>0.099</v>
      </c>
      <c r="H167" s="4" t="n">
        <v>15</v>
      </c>
      <c r="I167" s="4" t="n">
        <v>84.1</v>
      </c>
      <c r="J167" s="4" t="n">
        <v>3.48</v>
      </c>
      <c r="K167" s="4" t="n">
        <v>0</v>
      </c>
      <c r="L167" s="4" t="n">
        <v>5</v>
      </c>
      <c r="M167" s="4" t="n">
        <v>593637.14</v>
      </c>
      <c r="N167" s="4" t="n">
        <v>106648.14</v>
      </c>
    </row>
    <row r="168" customFormat="false" ht="15" hidden="false" customHeight="true" outlineLevel="0" collapsed="false">
      <c r="A168" s="4" t="s">
        <v>65</v>
      </c>
      <c r="B168" s="5" t="n">
        <v>45717</v>
      </c>
      <c r="C168" s="4" t="s">
        <v>16</v>
      </c>
      <c r="D168" s="4" t="s">
        <v>17</v>
      </c>
      <c r="E168" s="4" t="n">
        <v>50825.08</v>
      </c>
      <c r="F168" s="4" t="n">
        <v>8949</v>
      </c>
      <c r="G168" s="4" t="n">
        <v>0.157</v>
      </c>
      <c r="H168" s="4" t="n">
        <v>21</v>
      </c>
      <c r="I168" s="4" t="n">
        <v>84.7</v>
      </c>
      <c r="J168" s="4" t="n">
        <v>7.73</v>
      </c>
      <c r="K168" s="4" t="n">
        <v>0</v>
      </c>
      <c r="L168" s="4" t="n">
        <v>4.9</v>
      </c>
      <c r="M168" s="4" t="n">
        <v>769702.76</v>
      </c>
      <c r="N168" s="4" t="n">
        <v>158697</v>
      </c>
    </row>
    <row r="169" customFormat="false" ht="15" hidden="false" customHeight="true" outlineLevel="0" collapsed="false">
      <c r="A169" s="4" t="s">
        <v>65</v>
      </c>
      <c r="B169" s="5" t="n">
        <v>45748</v>
      </c>
      <c r="C169" s="4" t="s">
        <v>16</v>
      </c>
      <c r="D169" s="4" t="s">
        <v>17</v>
      </c>
      <c r="E169" s="4" t="n">
        <v>36606.51</v>
      </c>
      <c r="F169" s="4" t="n">
        <v>7671</v>
      </c>
      <c r="G169" s="4" t="n">
        <v>0.118</v>
      </c>
      <c r="H169" s="4" t="n">
        <v>18</v>
      </c>
      <c r="I169" s="4" t="n">
        <v>89.8</v>
      </c>
      <c r="J169" s="4" t="n">
        <v>0.25</v>
      </c>
      <c r="K169" s="4" t="n">
        <v>0</v>
      </c>
      <c r="L169" s="4" t="n">
        <v>4.4</v>
      </c>
      <c r="M169" s="4" t="n">
        <v>679731.57</v>
      </c>
      <c r="N169" s="4" t="n">
        <v>121546.42</v>
      </c>
    </row>
    <row r="170" customFormat="false" ht="15" hidden="false" customHeight="true" outlineLevel="0" collapsed="false">
      <c r="A170" s="4" t="s">
        <v>66</v>
      </c>
      <c r="B170" s="5" t="n">
        <v>45658</v>
      </c>
      <c r="C170" s="4" t="s">
        <v>16</v>
      </c>
      <c r="D170" s="4" t="s">
        <v>17</v>
      </c>
      <c r="E170" s="4" t="n">
        <v>65237.79</v>
      </c>
      <c r="F170" s="4" t="n">
        <v>8741</v>
      </c>
      <c r="G170" s="4" t="n">
        <v>0.157</v>
      </c>
      <c r="H170" s="4" t="n">
        <v>20</v>
      </c>
      <c r="I170" s="4" t="n">
        <v>94.4</v>
      </c>
      <c r="J170" s="4" t="n">
        <v>6.43</v>
      </c>
      <c r="K170" s="4" t="n">
        <v>0</v>
      </c>
      <c r="L170" s="4" t="n">
        <v>3.3</v>
      </c>
      <c r="M170" s="4" t="n">
        <v>780344.18</v>
      </c>
      <c r="N170" s="4" t="n">
        <v>118239.09</v>
      </c>
    </row>
    <row r="171" customFormat="false" ht="15" hidden="false" customHeight="true" outlineLevel="0" collapsed="false">
      <c r="A171" s="4" t="s">
        <v>66</v>
      </c>
      <c r="B171" s="5" t="n">
        <v>45689</v>
      </c>
      <c r="C171" s="4" t="s">
        <v>16</v>
      </c>
      <c r="D171" s="4" t="s">
        <v>17</v>
      </c>
      <c r="E171" s="4" t="n">
        <v>43645.98</v>
      </c>
      <c r="F171" s="4" t="n">
        <v>9480</v>
      </c>
      <c r="G171" s="4" t="n">
        <v>0.109</v>
      </c>
      <c r="H171" s="4" t="n">
        <v>22</v>
      </c>
      <c r="I171" s="4" t="n">
        <v>89</v>
      </c>
      <c r="J171" s="4" t="n">
        <v>2.11</v>
      </c>
      <c r="K171" s="4" t="n">
        <v>0</v>
      </c>
      <c r="L171" s="4" t="n">
        <v>3.1</v>
      </c>
      <c r="M171" s="4" t="n">
        <v>721364.11</v>
      </c>
      <c r="N171" s="4" t="n">
        <v>147272.81</v>
      </c>
    </row>
    <row r="172" customFormat="false" ht="15" hidden="false" customHeight="true" outlineLevel="0" collapsed="false">
      <c r="A172" s="4" t="s">
        <v>66</v>
      </c>
      <c r="B172" s="5" t="n">
        <v>45717</v>
      </c>
      <c r="C172" s="4" t="s">
        <v>16</v>
      </c>
      <c r="D172" s="4" t="s">
        <v>17</v>
      </c>
      <c r="E172" s="4" t="n">
        <v>68040.15</v>
      </c>
      <c r="F172" s="4" t="n">
        <v>9826</v>
      </c>
      <c r="G172" s="4" t="n">
        <v>0.125</v>
      </c>
      <c r="H172" s="4" t="n">
        <v>20</v>
      </c>
      <c r="I172" s="4" t="n">
        <v>83.9</v>
      </c>
      <c r="J172" s="4" t="n">
        <v>9.12</v>
      </c>
      <c r="K172" s="4" t="n">
        <v>0</v>
      </c>
      <c r="L172" s="4" t="n">
        <v>3.6</v>
      </c>
      <c r="M172" s="4" t="n">
        <v>758138.29</v>
      </c>
      <c r="N172" s="4" t="n">
        <v>132975.26</v>
      </c>
    </row>
    <row r="173" customFormat="false" ht="15" hidden="false" customHeight="true" outlineLevel="0" collapsed="false">
      <c r="A173" s="4" t="s">
        <v>66</v>
      </c>
      <c r="B173" s="5" t="n">
        <v>45748</v>
      </c>
      <c r="C173" s="4" t="s">
        <v>16</v>
      </c>
      <c r="D173" s="4" t="s">
        <v>17</v>
      </c>
      <c r="E173" s="4" t="n">
        <v>63043.94</v>
      </c>
      <c r="F173" s="4" t="n">
        <v>10402</v>
      </c>
      <c r="G173" s="4" t="n">
        <v>0.159</v>
      </c>
      <c r="H173" s="4" t="n">
        <v>23</v>
      </c>
      <c r="I173" s="4" t="n">
        <v>93.9</v>
      </c>
      <c r="J173" s="4" t="n">
        <v>2.71</v>
      </c>
      <c r="K173" s="4" t="n">
        <v>0</v>
      </c>
      <c r="L173" s="4" t="n">
        <v>3.1</v>
      </c>
      <c r="M173" s="4" t="n">
        <v>804264</v>
      </c>
      <c r="N173" s="4" t="n">
        <v>167117.91</v>
      </c>
    </row>
    <row r="174" customFormat="false" ht="15" hidden="false" customHeight="true" outlineLevel="0" collapsed="false">
      <c r="A174" s="4" t="s">
        <v>67</v>
      </c>
      <c r="B174" s="5" t="n">
        <v>45658</v>
      </c>
      <c r="C174" s="4" t="s">
        <v>28</v>
      </c>
      <c r="D174" s="4" t="s">
        <v>22</v>
      </c>
      <c r="E174" s="4" t="n">
        <v>67494.09</v>
      </c>
      <c r="F174" s="4" t="n">
        <v>12361</v>
      </c>
      <c r="G174" s="4" t="n">
        <v>0.046</v>
      </c>
      <c r="H174" s="4" t="n">
        <v>24</v>
      </c>
      <c r="I174" s="4" t="n">
        <v>76.6</v>
      </c>
      <c r="J174" s="4" t="n">
        <v>3.65</v>
      </c>
      <c r="K174" s="4" t="n">
        <v>1</v>
      </c>
      <c r="L174" s="4" t="n">
        <v>3.7</v>
      </c>
      <c r="M174" s="4" t="n">
        <v>887537.75</v>
      </c>
      <c r="N174" s="4" t="n">
        <v>160362.92</v>
      </c>
    </row>
    <row r="175" customFormat="false" ht="15" hidden="false" customHeight="true" outlineLevel="0" collapsed="false">
      <c r="A175" s="4" t="s">
        <v>67</v>
      </c>
      <c r="B175" s="5" t="n">
        <v>45689</v>
      </c>
      <c r="C175" s="4" t="s">
        <v>28</v>
      </c>
      <c r="D175" s="4" t="s">
        <v>22</v>
      </c>
      <c r="E175" s="4" t="n">
        <v>29389.32</v>
      </c>
      <c r="F175" s="4" t="n">
        <v>7925</v>
      </c>
      <c r="G175" s="4" t="n">
        <v>0.177</v>
      </c>
      <c r="H175" s="4" t="n">
        <v>21</v>
      </c>
      <c r="I175" s="4" t="n">
        <v>90.9</v>
      </c>
      <c r="J175" s="4" t="n">
        <v>7.86</v>
      </c>
      <c r="K175" s="4" t="n">
        <v>0</v>
      </c>
      <c r="L175" s="4" t="n">
        <v>4</v>
      </c>
      <c r="M175" s="4" t="n">
        <v>783582</v>
      </c>
      <c r="N175" s="4" t="n">
        <v>130670.93</v>
      </c>
    </row>
    <row r="176" customFormat="false" ht="15" hidden="false" customHeight="true" outlineLevel="0" collapsed="false">
      <c r="A176" s="4" t="s">
        <v>67</v>
      </c>
      <c r="B176" s="5" t="n">
        <v>45717</v>
      </c>
      <c r="C176" s="4" t="s">
        <v>28</v>
      </c>
      <c r="D176" s="4" t="s">
        <v>22</v>
      </c>
      <c r="E176" s="4" t="n">
        <v>40535.09</v>
      </c>
      <c r="F176" s="4" t="n">
        <v>8870</v>
      </c>
      <c r="G176" s="4" t="n">
        <v>0.041</v>
      </c>
      <c r="H176" s="4" t="n">
        <v>21</v>
      </c>
      <c r="I176" s="4" t="n">
        <v>86.6</v>
      </c>
      <c r="J176" s="4" t="n">
        <v>0.3</v>
      </c>
      <c r="K176" s="4" t="n">
        <v>0</v>
      </c>
      <c r="L176" s="4" t="n">
        <v>4.1</v>
      </c>
      <c r="M176" s="4" t="n">
        <v>781955.52</v>
      </c>
      <c r="N176" s="4" t="n">
        <v>152578.71</v>
      </c>
    </row>
    <row r="177" customFormat="false" ht="15" hidden="false" customHeight="true" outlineLevel="0" collapsed="false">
      <c r="A177" s="4" t="s">
        <v>67</v>
      </c>
      <c r="B177" s="5" t="n">
        <v>45748</v>
      </c>
      <c r="C177" s="4" t="s">
        <v>28</v>
      </c>
      <c r="D177" s="4" t="s">
        <v>22</v>
      </c>
      <c r="E177" s="4" t="n">
        <v>74881.56</v>
      </c>
      <c r="F177" s="4" t="n">
        <v>9999</v>
      </c>
      <c r="G177" s="4" t="n">
        <v>0.013</v>
      </c>
      <c r="H177" s="4" t="n">
        <v>20</v>
      </c>
      <c r="I177" s="4" t="n">
        <v>89.6</v>
      </c>
      <c r="J177" s="4" t="n">
        <v>8.44</v>
      </c>
      <c r="K177" s="4" t="n">
        <v>0</v>
      </c>
      <c r="L177" s="4" t="n">
        <v>4.1</v>
      </c>
      <c r="M177" s="4" t="n">
        <v>898031.04</v>
      </c>
      <c r="N177" s="4" t="n">
        <v>138666.5</v>
      </c>
    </row>
    <row r="178" customFormat="false" ht="15" hidden="false" customHeight="true" outlineLevel="0" collapsed="false">
      <c r="A178" s="4" t="s">
        <v>68</v>
      </c>
      <c r="B178" s="5" t="n">
        <v>45658</v>
      </c>
      <c r="C178" s="4" t="s">
        <v>28</v>
      </c>
      <c r="D178" s="4" t="s">
        <v>17</v>
      </c>
      <c r="E178" s="4" t="n">
        <v>68491.11</v>
      </c>
      <c r="F178" s="4" t="n">
        <v>11154</v>
      </c>
      <c r="G178" s="4" t="n">
        <v>0.001</v>
      </c>
      <c r="H178" s="4" t="n">
        <v>24</v>
      </c>
      <c r="I178" s="4" t="n">
        <v>89.4</v>
      </c>
      <c r="J178" s="4" t="n">
        <v>5.27</v>
      </c>
      <c r="K178" s="4" t="n">
        <v>1</v>
      </c>
      <c r="L178" s="4" t="n">
        <v>3.9</v>
      </c>
      <c r="M178" s="4" t="n">
        <v>855341.28</v>
      </c>
      <c r="N178" s="4" t="n">
        <v>175823.8</v>
      </c>
    </row>
    <row r="179" customFormat="false" ht="15" hidden="false" customHeight="true" outlineLevel="0" collapsed="false">
      <c r="A179" s="4" t="s">
        <v>68</v>
      </c>
      <c r="B179" s="5" t="n">
        <v>45689</v>
      </c>
      <c r="C179" s="4" t="s">
        <v>28</v>
      </c>
      <c r="D179" s="4" t="s">
        <v>17</v>
      </c>
      <c r="E179" s="4" t="n">
        <v>45209.25</v>
      </c>
      <c r="F179" s="4" t="n">
        <v>9287</v>
      </c>
      <c r="G179" s="4" t="n">
        <v>0.141</v>
      </c>
      <c r="H179" s="4" t="n">
        <v>22</v>
      </c>
      <c r="I179" s="4" t="n">
        <v>86.4</v>
      </c>
      <c r="J179" s="4" t="n">
        <v>13.22</v>
      </c>
      <c r="K179" s="4" t="n">
        <v>0</v>
      </c>
      <c r="L179" s="4" t="n">
        <v>3.6</v>
      </c>
      <c r="M179" s="4" t="n">
        <v>751393.88</v>
      </c>
      <c r="N179" s="4" t="n">
        <v>91480.32</v>
      </c>
    </row>
    <row r="180" customFormat="false" ht="15" hidden="false" customHeight="true" outlineLevel="0" collapsed="false">
      <c r="A180" s="4" t="s">
        <v>68</v>
      </c>
      <c r="B180" s="5" t="n">
        <v>45717</v>
      </c>
      <c r="C180" s="4" t="s">
        <v>28</v>
      </c>
      <c r="D180" s="4" t="s">
        <v>17</v>
      </c>
      <c r="E180" s="4" t="n">
        <v>63010.23</v>
      </c>
      <c r="F180" s="4" t="n">
        <v>9812</v>
      </c>
      <c r="G180" s="4" t="n">
        <v>0.113</v>
      </c>
      <c r="H180" s="4" t="n">
        <v>24</v>
      </c>
      <c r="I180" s="4" t="n">
        <v>76.8</v>
      </c>
      <c r="J180" s="4" t="n">
        <v>1.02</v>
      </c>
      <c r="K180" s="4" t="n">
        <v>1</v>
      </c>
      <c r="L180" s="4" t="n">
        <v>3.8</v>
      </c>
      <c r="M180" s="4" t="n">
        <v>761077.08</v>
      </c>
      <c r="N180" s="4" t="n">
        <v>113605.93</v>
      </c>
    </row>
    <row r="181" customFormat="false" ht="15" hidden="false" customHeight="true" outlineLevel="0" collapsed="false">
      <c r="A181" s="4" t="s">
        <v>68</v>
      </c>
      <c r="B181" s="5" t="n">
        <v>45748</v>
      </c>
      <c r="C181" s="4" t="s">
        <v>28</v>
      </c>
      <c r="D181" s="4" t="s">
        <v>17</v>
      </c>
      <c r="E181" s="4" t="n">
        <v>57948.88</v>
      </c>
      <c r="F181" s="4" t="n">
        <v>10741</v>
      </c>
      <c r="G181" s="4" t="n">
        <v>0.07</v>
      </c>
      <c r="H181" s="4" t="n">
        <v>25</v>
      </c>
      <c r="I181" s="4" t="n">
        <v>90.1</v>
      </c>
      <c r="J181" s="4" t="n">
        <v>4.03</v>
      </c>
      <c r="K181" s="4" t="n">
        <v>0</v>
      </c>
      <c r="L181" s="4" t="n">
        <v>3.1</v>
      </c>
      <c r="M181" s="4" t="n">
        <v>819660.59</v>
      </c>
      <c r="N181" s="4" t="n">
        <v>172699.95</v>
      </c>
    </row>
    <row r="182" customFormat="false" ht="15" hidden="false" customHeight="true" outlineLevel="0" collapsed="false">
      <c r="A182" s="4" t="s">
        <v>69</v>
      </c>
      <c r="B182" s="5" t="n">
        <v>45658</v>
      </c>
      <c r="C182" s="4" t="s">
        <v>21</v>
      </c>
      <c r="D182" s="4" t="s">
        <v>19</v>
      </c>
      <c r="E182" s="4" t="n">
        <v>71941.62</v>
      </c>
      <c r="F182" s="4" t="n">
        <v>6084</v>
      </c>
      <c r="G182" s="4" t="n">
        <v>0.072</v>
      </c>
      <c r="H182" s="4" t="n">
        <v>13</v>
      </c>
      <c r="I182" s="4" t="n">
        <v>93.7</v>
      </c>
      <c r="J182" s="4" t="n">
        <v>2.34</v>
      </c>
      <c r="K182" s="4" t="n">
        <v>0</v>
      </c>
      <c r="L182" s="4" t="n">
        <v>4.4</v>
      </c>
      <c r="M182" s="4" t="n">
        <v>681855.56</v>
      </c>
      <c r="N182" s="4" t="n">
        <v>117645.61</v>
      </c>
    </row>
    <row r="183" customFormat="false" ht="15" hidden="false" customHeight="true" outlineLevel="0" collapsed="false">
      <c r="A183" s="4" t="s">
        <v>69</v>
      </c>
      <c r="B183" s="5" t="n">
        <v>45689</v>
      </c>
      <c r="C183" s="4" t="s">
        <v>21</v>
      </c>
      <c r="D183" s="4" t="s">
        <v>19</v>
      </c>
      <c r="E183" s="4" t="n">
        <v>57147.88</v>
      </c>
      <c r="F183" s="4" t="n">
        <v>5252</v>
      </c>
      <c r="G183" s="4" t="n">
        <v>0.161</v>
      </c>
      <c r="H183" s="4" t="n">
        <v>15</v>
      </c>
      <c r="I183" s="4" t="n">
        <v>95.5</v>
      </c>
      <c r="J183" s="4" t="n">
        <v>8.51</v>
      </c>
      <c r="K183" s="4" t="n">
        <v>0</v>
      </c>
      <c r="L183" s="4" t="n">
        <v>4.4</v>
      </c>
      <c r="M183" s="4" t="n">
        <v>678311.17</v>
      </c>
      <c r="N183" s="4" t="n">
        <v>132029.76</v>
      </c>
    </row>
    <row r="184" customFormat="false" ht="15" hidden="false" customHeight="true" outlineLevel="0" collapsed="false">
      <c r="A184" s="4" t="s">
        <v>69</v>
      </c>
      <c r="B184" s="5" t="n">
        <v>45717</v>
      </c>
      <c r="C184" s="4" t="s">
        <v>21</v>
      </c>
      <c r="D184" s="4" t="s">
        <v>19</v>
      </c>
      <c r="E184" s="4" t="n">
        <v>48031.74</v>
      </c>
      <c r="F184" s="4" t="n">
        <v>6516</v>
      </c>
      <c r="G184" s="4" t="n">
        <v>0.067</v>
      </c>
      <c r="H184" s="4" t="n">
        <v>14</v>
      </c>
      <c r="I184" s="4" t="n">
        <v>99</v>
      </c>
      <c r="J184" s="4" t="n">
        <v>0.48</v>
      </c>
      <c r="K184" s="4" t="n">
        <v>1</v>
      </c>
      <c r="L184" s="4" t="n">
        <v>4.3</v>
      </c>
      <c r="M184" s="4" t="n">
        <v>765906.95</v>
      </c>
      <c r="N184" s="4" t="n">
        <v>114005.9</v>
      </c>
    </row>
    <row r="185" customFormat="false" ht="15" hidden="false" customHeight="true" outlineLevel="0" collapsed="false">
      <c r="A185" s="4" t="s">
        <v>69</v>
      </c>
      <c r="B185" s="5" t="n">
        <v>45748</v>
      </c>
      <c r="C185" s="4" t="s">
        <v>21</v>
      </c>
      <c r="D185" s="4" t="s">
        <v>19</v>
      </c>
      <c r="E185" s="4" t="n">
        <v>72784.8</v>
      </c>
      <c r="F185" s="4" t="n">
        <v>7932</v>
      </c>
      <c r="G185" s="4" t="n">
        <v>0.094</v>
      </c>
      <c r="H185" s="4" t="n">
        <v>20</v>
      </c>
      <c r="I185" s="4" t="n">
        <v>74.9</v>
      </c>
      <c r="J185" s="4" t="n">
        <v>13.62</v>
      </c>
      <c r="K185" s="4" t="n">
        <v>0</v>
      </c>
      <c r="L185" s="4" t="n">
        <v>4.2</v>
      </c>
      <c r="M185" s="4" t="n">
        <v>712546.38</v>
      </c>
      <c r="N185" s="4" t="n">
        <v>101480.04</v>
      </c>
    </row>
    <row r="186" customFormat="false" ht="15" hidden="false" customHeight="true" outlineLevel="0" collapsed="false">
      <c r="A186" s="4" t="s">
        <v>70</v>
      </c>
      <c r="B186" s="5" t="n">
        <v>45658</v>
      </c>
      <c r="C186" s="4" t="s">
        <v>16</v>
      </c>
      <c r="D186" s="4" t="s">
        <v>19</v>
      </c>
      <c r="E186" s="4" t="n">
        <v>71641.9</v>
      </c>
      <c r="F186" s="4" t="n">
        <v>3506</v>
      </c>
      <c r="G186" s="4" t="n">
        <v>0</v>
      </c>
      <c r="H186" s="4" t="n">
        <v>11</v>
      </c>
      <c r="I186" s="4" t="n">
        <v>86.4</v>
      </c>
      <c r="J186" s="4" t="n">
        <v>7.77</v>
      </c>
      <c r="K186" s="4" t="n">
        <v>0</v>
      </c>
      <c r="L186" s="4" t="n">
        <v>4.1</v>
      </c>
      <c r="M186" s="4" t="n">
        <v>625993.83</v>
      </c>
      <c r="N186" s="4" t="n">
        <v>98960.32</v>
      </c>
    </row>
    <row r="187" customFormat="false" ht="15" hidden="false" customHeight="true" outlineLevel="0" collapsed="false">
      <c r="A187" s="4" t="s">
        <v>70</v>
      </c>
      <c r="B187" s="5" t="n">
        <v>45689</v>
      </c>
      <c r="C187" s="4" t="s">
        <v>16</v>
      </c>
      <c r="D187" s="4" t="s">
        <v>19</v>
      </c>
      <c r="E187" s="4" t="n">
        <v>55788.61</v>
      </c>
      <c r="F187" s="4" t="n">
        <v>2312</v>
      </c>
      <c r="G187" s="4" t="n">
        <v>0.058</v>
      </c>
      <c r="H187" s="4" t="n">
        <v>10</v>
      </c>
      <c r="I187" s="4" t="n">
        <v>91.3</v>
      </c>
      <c r="J187" s="4" t="n">
        <v>1.99</v>
      </c>
      <c r="K187" s="4" t="n">
        <v>0</v>
      </c>
      <c r="L187" s="4" t="n">
        <v>3.8</v>
      </c>
      <c r="M187" s="4" t="n">
        <v>550962.93</v>
      </c>
      <c r="N187" s="4" t="n">
        <v>97144.58</v>
      </c>
    </row>
    <row r="188" customFormat="false" ht="15" hidden="false" customHeight="true" outlineLevel="0" collapsed="false">
      <c r="A188" s="4" t="s">
        <v>70</v>
      </c>
      <c r="B188" s="5" t="n">
        <v>45717</v>
      </c>
      <c r="C188" s="4" t="s">
        <v>16</v>
      </c>
      <c r="D188" s="4" t="s">
        <v>19</v>
      </c>
      <c r="E188" s="4" t="n">
        <v>37705.88</v>
      </c>
      <c r="F188" s="4" t="n">
        <v>1268</v>
      </c>
      <c r="G188" s="4" t="n">
        <v>0.259</v>
      </c>
      <c r="H188" s="4" t="n">
        <v>9</v>
      </c>
      <c r="I188" s="4" t="n">
        <v>84.1</v>
      </c>
      <c r="J188" s="4" t="n">
        <v>4.77</v>
      </c>
      <c r="K188" s="4" t="n">
        <v>0</v>
      </c>
      <c r="L188" s="4" t="n">
        <v>3.8</v>
      </c>
      <c r="M188" s="4" t="n">
        <v>443275.59</v>
      </c>
      <c r="N188" s="4" t="n">
        <v>53544.36</v>
      </c>
    </row>
    <row r="189" customFormat="false" ht="15" hidden="false" customHeight="true" outlineLevel="0" collapsed="false">
      <c r="A189" s="4" t="s">
        <v>70</v>
      </c>
      <c r="B189" s="5" t="n">
        <v>45748</v>
      </c>
      <c r="C189" s="4" t="s">
        <v>16</v>
      </c>
      <c r="D189" s="4" t="s">
        <v>19</v>
      </c>
      <c r="E189" s="4" t="n">
        <v>54966.18</v>
      </c>
      <c r="F189" s="4" t="n">
        <v>4423</v>
      </c>
      <c r="G189" s="4" t="n">
        <v>0.186</v>
      </c>
      <c r="H189" s="4" t="n">
        <v>13</v>
      </c>
      <c r="I189" s="4" t="n">
        <v>88.7</v>
      </c>
      <c r="J189" s="4" t="n">
        <v>0.2</v>
      </c>
      <c r="K189" s="4" t="n">
        <v>0</v>
      </c>
      <c r="L189" s="4" t="n">
        <v>4.4</v>
      </c>
      <c r="M189" s="4" t="n">
        <v>554012.07</v>
      </c>
      <c r="N189" s="4" t="n">
        <v>81101.62</v>
      </c>
    </row>
    <row r="190" customFormat="false" ht="15" hidden="false" customHeight="true" outlineLevel="0" collapsed="false">
      <c r="A190" s="4" t="s">
        <v>71</v>
      </c>
      <c r="B190" s="5" t="n">
        <v>45658</v>
      </c>
      <c r="C190" s="4" t="s">
        <v>28</v>
      </c>
      <c r="D190" s="4" t="s">
        <v>17</v>
      </c>
      <c r="E190" s="4" t="n">
        <v>81796.74</v>
      </c>
      <c r="F190" s="4" t="n">
        <v>6177</v>
      </c>
      <c r="G190" s="4" t="n">
        <v>0.164</v>
      </c>
      <c r="H190" s="4" t="n">
        <v>14</v>
      </c>
      <c r="I190" s="4" t="n">
        <v>87.9</v>
      </c>
      <c r="J190" s="4" t="n">
        <v>0.53</v>
      </c>
      <c r="K190" s="4" t="n">
        <v>0</v>
      </c>
      <c r="L190" s="4" t="n">
        <v>3.2</v>
      </c>
      <c r="M190" s="4" t="n">
        <v>643428.85</v>
      </c>
      <c r="N190" s="4" t="n">
        <v>94477.63</v>
      </c>
    </row>
    <row r="191" customFormat="false" ht="15" hidden="false" customHeight="true" outlineLevel="0" collapsed="false">
      <c r="A191" s="4" t="s">
        <v>71</v>
      </c>
      <c r="B191" s="5" t="n">
        <v>45689</v>
      </c>
      <c r="C191" s="4" t="s">
        <v>28</v>
      </c>
      <c r="D191" s="4" t="s">
        <v>17</v>
      </c>
      <c r="E191" s="4" t="n">
        <v>51133.43</v>
      </c>
      <c r="F191" s="4" t="n">
        <v>5150</v>
      </c>
      <c r="G191" s="4" t="n">
        <v>0.15</v>
      </c>
      <c r="H191" s="4" t="n">
        <v>12</v>
      </c>
      <c r="I191" s="4" t="n">
        <v>88.5</v>
      </c>
      <c r="J191" s="4" t="n">
        <v>1.54</v>
      </c>
      <c r="K191" s="4" t="n">
        <v>0</v>
      </c>
      <c r="L191" s="4" t="n">
        <v>3.2</v>
      </c>
      <c r="M191" s="4" t="n">
        <v>611924.27</v>
      </c>
      <c r="N191" s="4" t="n">
        <v>115488.75</v>
      </c>
    </row>
    <row r="192" customFormat="false" ht="15" hidden="false" customHeight="true" outlineLevel="0" collapsed="false">
      <c r="A192" s="4" t="s">
        <v>71</v>
      </c>
      <c r="B192" s="5" t="n">
        <v>45717</v>
      </c>
      <c r="C192" s="4" t="s">
        <v>28</v>
      </c>
      <c r="D192" s="4" t="s">
        <v>17</v>
      </c>
      <c r="E192" s="4" t="n">
        <v>40220.18</v>
      </c>
      <c r="F192" s="4" t="n">
        <v>3783</v>
      </c>
      <c r="G192" s="4" t="n">
        <v>0.089</v>
      </c>
      <c r="H192" s="4" t="n">
        <v>14</v>
      </c>
      <c r="I192" s="4" t="n">
        <v>86.6</v>
      </c>
      <c r="J192" s="4" t="n">
        <v>3.63</v>
      </c>
      <c r="K192" s="4" t="n">
        <v>0</v>
      </c>
      <c r="L192" s="4" t="n">
        <v>3.7</v>
      </c>
      <c r="M192" s="4" t="n">
        <v>559422.02</v>
      </c>
      <c r="N192" s="4" t="n">
        <v>73528.74</v>
      </c>
    </row>
    <row r="193" customFormat="false" ht="15" hidden="false" customHeight="true" outlineLevel="0" collapsed="false">
      <c r="A193" s="4" t="s">
        <v>72</v>
      </c>
      <c r="B193" s="5" t="n">
        <v>45658</v>
      </c>
      <c r="C193" s="4" t="s">
        <v>21</v>
      </c>
      <c r="D193" s="4" t="s">
        <v>17</v>
      </c>
      <c r="E193" s="4" t="n">
        <v>71851.45</v>
      </c>
      <c r="F193" s="4" t="n">
        <v>4970</v>
      </c>
      <c r="G193" s="4" t="n">
        <v>0.098</v>
      </c>
      <c r="H193" s="4" t="n">
        <v>11</v>
      </c>
      <c r="I193" s="4" t="n">
        <v>89.6</v>
      </c>
      <c r="J193" s="4" t="n">
        <v>0.2</v>
      </c>
      <c r="K193" s="4" t="n">
        <v>0</v>
      </c>
      <c r="L193" s="4" t="n">
        <v>4.2</v>
      </c>
      <c r="M193" s="4" t="n">
        <v>691447.43</v>
      </c>
      <c r="N193" s="4" t="n">
        <v>114077.69</v>
      </c>
    </row>
    <row r="194" customFormat="false" ht="15" hidden="false" customHeight="true" outlineLevel="0" collapsed="false">
      <c r="A194" s="4" t="s">
        <v>72</v>
      </c>
      <c r="B194" s="5" t="n">
        <v>45689</v>
      </c>
      <c r="C194" s="4" t="s">
        <v>21</v>
      </c>
      <c r="D194" s="4" t="s">
        <v>17</v>
      </c>
      <c r="E194" s="4" t="n">
        <v>54002.83</v>
      </c>
      <c r="F194" s="4" t="n">
        <v>4366</v>
      </c>
      <c r="G194" s="4" t="n">
        <v>0.027</v>
      </c>
      <c r="H194" s="4" t="n">
        <v>15</v>
      </c>
      <c r="I194" s="4" t="n">
        <v>90.6</v>
      </c>
      <c r="J194" s="4" t="n">
        <v>12.82</v>
      </c>
      <c r="K194" s="4" t="n">
        <v>0</v>
      </c>
      <c r="L194" s="4" t="n">
        <v>4.6</v>
      </c>
      <c r="M194" s="4" t="n">
        <v>574066.61</v>
      </c>
      <c r="N194" s="4" t="n">
        <v>124674.67</v>
      </c>
    </row>
    <row r="195" customFormat="false" ht="15" hidden="false" customHeight="true" outlineLevel="0" collapsed="false">
      <c r="A195" s="4" t="s">
        <v>72</v>
      </c>
      <c r="B195" s="5" t="n">
        <v>45717</v>
      </c>
      <c r="C195" s="4" t="s">
        <v>21</v>
      </c>
      <c r="D195" s="4" t="s">
        <v>17</v>
      </c>
      <c r="E195" s="4" t="n">
        <v>54479.33</v>
      </c>
      <c r="F195" s="4" t="n">
        <v>5012</v>
      </c>
      <c r="G195" s="4" t="n">
        <v>0.284</v>
      </c>
      <c r="H195" s="4" t="n">
        <v>13</v>
      </c>
      <c r="I195" s="4" t="n">
        <v>86</v>
      </c>
      <c r="J195" s="4" t="n">
        <v>2.24</v>
      </c>
      <c r="K195" s="4" t="n">
        <v>1</v>
      </c>
      <c r="L195" s="4" t="n">
        <v>4.3</v>
      </c>
      <c r="M195" s="4" t="n">
        <v>578949.84</v>
      </c>
      <c r="N195" s="4" t="n">
        <v>80253.65</v>
      </c>
    </row>
    <row r="196" customFormat="false" ht="15" hidden="false" customHeight="true" outlineLevel="0" collapsed="false">
      <c r="A196" s="4" t="s">
        <v>72</v>
      </c>
      <c r="B196" s="5" t="n">
        <v>45748</v>
      </c>
      <c r="C196" s="4" t="s">
        <v>21</v>
      </c>
      <c r="D196" s="4" t="s">
        <v>17</v>
      </c>
      <c r="E196" s="4" t="n">
        <v>61391.8</v>
      </c>
      <c r="F196" s="4" t="n">
        <v>5575</v>
      </c>
      <c r="G196" s="4" t="n">
        <v>0.189</v>
      </c>
      <c r="H196" s="4" t="n">
        <v>18</v>
      </c>
      <c r="I196" s="4" t="n">
        <v>90</v>
      </c>
      <c r="J196" s="4" t="n">
        <v>1.8</v>
      </c>
      <c r="K196" s="4" t="n">
        <v>0</v>
      </c>
      <c r="L196" s="4" t="n">
        <v>4.8</v>
      </c>
      <c r="M196" s="4" t="n">
        <v>735786.64</v>
      </c>
      <c r="N196" s="4" t="n">
        <v>126540.66</v>
      </c>
    </row>
    <row r="197" customFormat="false" ht="15" hidden="false" customHeight="true" outlineLevel="0" collapsed="false">
      <c r="A197" s="4" t="s">
        <v>73</v>
      </c>
      <c r="B197" s="5" t="n">
        <v>45658</v>
      </c>
      <c r="C197" s="4" t="s">
        <v>16</v>
      </c>
      <c r="D197" s="4" t="s">
        <v>22</v>
      </c>
      <c r="E197" s="4" t="n">
        <v>22312.93</v>
      </c>
      <c r="F197" s="4" t="n">
        <v>5955</v>
      </c>
      <c r="G197" s="4" t="n">
        <v>0.123</v>
      </c>
      <c r="H197" s="4" t="n">
        <v>13</v>
      </c>
      <c r="I197" s="4" t="n">
        <v>84.2</v>
      </c>
      <c r="J197" s="4" t="n">
        <v>0.41</v>
      </c>
      <c r="K197" s="4" t="n">
        <v>1</v>
      </c>
      <c r="L197" s="4" t="n">
        <v>4.6</v>
      </c>
      <c r="M197" s="4" t="n">
        <v>598904.9</v>
      </c>
      <c r="N197" s="4" t="n">
        <v>72861</v>
      </c>
    </row>
    <row r="198" customFormat="false" ht="15" hidden="false" customHeight="true" outlineLevel="0" collapsed="false">
      <c r="A198" s="4" t="s">
        <v>73</v>
      </c>
      <c r="B198" s="5" t="n">
        <v>45689</v>
      </c>
      <c r="C198" s="4" t="s">
        <v>16</v>
      </c>
      <c r="D198" s="4" t="s">
        <v>22</v>
      </c>
      <c r="E198" s="4" t="n">
        <v>78111.97</v>
      </c>
      <c r="F198" s="4" t="n">
        <v>6389</v>
      </c>
      <c r="G198" s="4" t="n">
        <v>0.15</v>
      </c>
      <c r="H198" s="4" t="n">
        <v>13</v>
      </c>
      <c r="I198" s="4" t="n">
        <v>83.9</v>
      </c>
      <c r="J198" s="4" t="n">
        <v>3.05</v>
      </c>
      <c r="K198" s="4" t="n">
        <v>0</v>
      </c>
      <c r="L198" s="4" t="n">
        <v>4.8</v>
      </c>
      <c r="M198" s="4" t="n">
        <v>787715.51</v>
      </c>
      <c r="N198" s="4" t="n">
        <v>128969.62</v>
      </c>
    </row>
    <row r="199" customFormat="false" ht="15" hidden="false" customHeight="true" outlineLevel="0" collapsed="false">
      <c r="A199" s="4" t="s">
        <v>73</v>
      </c>
      <c r="B199" s="5" t="n">
        <v>45717</v>
      </c>
      <c r="C199" s="4" t="s">
        <v>16</v>
      </c>
      <c r="D199" s="4" t="s">
        <v>22</v>
      </c>
      <c r="E199" s="4" t="n">
        <v>35203.23</v>
      </c>
      <c r="F199" s="4" t="n">
        <v>6896</v>
      </c>
      <c r="G199" s="4" t="n">
        <v>0.032</v>
      </c>
      <c r="H199" s="4" t="n">
        <v>14</v>
      </c>
      <c r="I199" s="4" t="n">
        <v>80.8</v>
      </c>
      <c r="J199" s="4" t="n">
        <v>8.44</v>
      </c>
      <c r="K199" s="4" t="n">
        <v>1</v>
      </c>
      <c r="L199" s="4" t="n">
        <v>5</v>
      </c>
      <c r="M199" s="4" t="n">
        <v>607084.92</v>
      </c>
      <c r="N199" s="4" t="n">
        <v>98558.49</v>
      </c>
    </row>
    <row r="200" customFormat="false" ht="15" hidden="false" customHeight="true" outlineLevel="0" collapsed="false">
      <c r="A200" s="4" t="s">
        <v>73</v>
      </c>
      <c r="B200" s="5" t="n">
        <v>45748</v>
      </c>
      <c r="C200" s="4" t="s">
        <v>16</v>
      </c>
      <c r="D200" s="4" t="s">
        <v>22</v>
      </c>
      <c r="E200" s="4" t="n">
        <v>64104.28</v>
      </c>
      <c r="F200" s="4" t="n">
        <v>6015</v>
      </c>
      <c r="G200" s="4" t="n">
        <v>0.127</v>
      </c>
      <c r="H200" s="4" t="n">
        <v>15</v>
      </c>
      <c r="I200" s="4" t="n">
        <v>88.7</v>
      </c>
      <c r="J200" s="4" t="n">
        <v>0.78</v>
      </c>
      <c r="K200" s="4" t="n">
        <v>0</v>
      </c>
      <c r="L200" s="4" t="n">
        <v>4</v>
      </c>
      <c r="M200" s="4" t="n">
        <v>650795.49</v>
      </c>
      <c r="N200" s="4" t="n">
        <v>103035.89</v>
      </c>
    </row>
    <row r="201" customFormat="false" ht="15" hidden="false" customHeight="true" outlineLevel="0" collapsed="false">
      <c r="A201" s="4" t="s">
        <v>74</v>
      </c>
      <c r="B201" s="5" t="n">
        <v>45658</v>
      </c>
      <c r="C201" s="4" t="s">
        <v>16</v>
      </c>
      <c r="D201" s="4" t="s">
        <v>29</v>
      </c>
      <c r="E201" s="4" t="n">
        <v>92090.14</v>
      </c>
      <c r="F201" s="4" t="n">
        <v>9476</v>
      </c>
      <c r="G201" s="4" t="n">
        <v>0.07</v>
      </c>
      <c r="H201" s="4" t="n">
        <v>24</v>
      </c>
      <c r="I201" s="4" t="n">
        <v>94.3</v>
      </c>
      <c r="J201" s="4" t="n">
        <v>0.87</v>
      </c>
      <c r="K201" s="4" t="n">
        <v>0</v>
      </c>
      <c r="L201" s="4" t="n">
        <v>3.7</v>
      </c>
      <c r="M201" s="4" t="n">
        <v>825060.52</v>
      </c>
      <c r="N201" s="4" t="n">
        <v>143613.15</v>
      </c>
    </row>
    <row r="202" customFormat="false" ht="15" hidden="false" customHeight="true" outlineLevel="0" collapsed="false">
      <c r="A202" s="4" t="s">
        <v>74</v>
      </c>
      <c r="B202" s="5" t="n">
        <v>45689</v>
      </c>
      <c r="C202" s="4" t="s">
        <v>16</v>
      </c>
      <c r="D202" s="4" t="s">
        <v>29</v>
      </c>
      <c r="E202" s="4" t="n">
        <v>54300.87</v>
      </c>
      <c r="F202" s="4" t="n">
        <v>7875</v>
      </c>
      <c r="G202" s="4" t="n">
        <v>0.107</v>
      </c>
      <c r="H202" s="4" t="n">
        <v>19</v>
      </c>
      <c r="I202" s="4" t="n">
        <v>94.1</v>
      </c>
      <c r="J202" s="4" t="n">
        <v>0.95</v>
      </c>
      <c r="K202" s="4" t="n">
        <v>0</v>
      </c>
      <c r="L202" s="4" t="n">
        <v>3.7</v>
      </c>
      <c r="M202" s="4" t="n">
        <v>795464.47</v>
      </c>
      <c r="N202" s="4" t="n">
        <v>161150.52</v>
      </c>
    </row>
    <row r="203" customFormat="false" ht="15" hidden="false" customHeight="true" outlineLevel="0" collapsed="false">
      <c r="A203" s="4" t="s">
        <v>74</v>
      </c>
      <c r="B203" s="5" t="n">
        <v>45717</v>
      </c>
      <c r="C203" s="4" t="s">
        <v>16</v>
      </c>
      <c r="D203" s="4" t="s">
        <v>29</v>
      </c>
      <c r="E203" s="4" t="n">
        <v>37983.35</v>
      </c>
      <c r="F203" s="4" t="n">
        <v>9283</v>
      </c>
      <c r="G203" s="4" t="n">
        <v>0.149</v>
      </c>
      <c r="H203" s="4" t="n">
        <v>19</v>
      </c>
      <c r="I203" s="4" t="n">
        <v>83.2</v>
      </c>
      <c r="J203" s="4" t="n">
        <v>3.82</v>
      </c>
      <c r="K203" s="4" t="n">
        <v>0</v>
      </c>
      <c r="L203" s="4" t="n">
        <v>3.7</v>
      </c>
      <c r="M203" s="4" t="n">
        <v>671868.59</v>
      </c>
      <c r="N203" s="4" t="n">
        <v>71003.28</v>
      </c>
    </row>
    <row r="204" customFormat="false" ht="15" hidden="false" customHeight="true" outlineLevel="0" collapsed="false">
      <c r="A204" s="4" t="s">
        <v>74</v>
      </c>
      <c r="B204" s="5" t="n">
        <v>45748</v>
      </c>
      <c r="C204" s="4" t="s">
        <v>16</v>
      </c>
      <c r="D204" s="4" t="s">
        <v>29</v>
      </c>
      <c r="E204" s="4" t="n">
        <v>56413.83</v>
      </c>
      <c r="F204" s="4" t="n">
        <v>8303</v>
      </c>
      <c r="G204" s="4" t="n">
        <v>0.116</v>
      </c>
      <c r="H204" s="4" t="n">
        <v>18</v>
      </c>
      <c r="I204" s="4" t="n">
        <v>93.6</v>
      </c>
      <c r="J204" s="4" t="n">
        <v>2.7</v>
      </c>
      <c r="K204" s="4" t="n">
        <v>0</v>
      </c>
      <c r="L204" s="4" t="n">
        <v>3.7</v>
      </c>
      <c r="M204" s="4" t="n">
        <v>675917.63</v>
      </c>
      <c r="N204" s="4" t="n">
        <v>112564.75</v>
      </c>
    </row>
    <row r="205" customFormat="false" ht="15" hidden="false" customHeight="true" outlineLevel="0" collapsed="false">
      <c r="A205" s="4" t="s">
        <v>75</v>
      </c>
      <c r="B205" s="5" t="n">
        <v>45658</v>
      </c>
      <c r="C205" s="4" t="s">
        <v>16</v>
      </c>
      <c r="D205" s="4" t="s">
        <v>19</v>
      </c>
      <c r="E205" s="4" t="n">
        <v>63457.19</v>
      </c>
      <c r="F205" s="4" t="n">
        <v>10125</v>
      </c>
      <c r="G205" s="4" t="n">
        <v>0.097</v>
      </c>
      <c r="H205" s="4" t="n">
        <v>24</v>
      </c>
      <c r="I205" s="4" t="n">
        <v>87</v>
      </c>
      <c r="J205" s="4" t="n">
        <v>3.84</v>
      </c>
      <c r="K205" s="4" t="n">
        <v>1</v>
      </c>
      <c r="L205" s="4" t="n">
        <v>3.7</v>
      </c>
      <c r="M205" s="4" t="n">
        <v>810446.53</v>
      </c>
      <c r="N205" s="4" t="n">
        <v>200575.34</v>
      </c>
    </row>
    <row r="206" customFormat="false" ht="15" hidden="false" customHeight="true" outlineLevel="0" collapsed="false">
      <c r="A206" s="4" t="s">
        <v>75</v>
      </c>
      <c r="B206" s="5" t="n">
        <v>45689</v>
      </c>
      <c r="C206" s="4" t="s">
        <v>16</v>
      </c>
      <c r="D206" s="4" t="s">
        <v>19</v>
      </c>
      <c r="E206" s="4" t="n">
        <v>62949.7</v>
      </c>
      <c r="F206" s="4" t="n">
        <v>9458</v>
      </c>
      <c r="G206" s="4" t="n">
        <v>0.171</v>
      </c>
      <c r="H206" s="4" t="n">
        <v>19</v>
      </c>
      <c r="I206" s="4" t="n">
        <v>84.9</v>
      </c>
      <c r="J206" s="4" t="n">
        <v>5.09</v>
      </c>
      <c r="K206" s="4" t="n">
        <v>0</v>
      </c>
      <c r="L206" s="4" t="n">
        <v>3.3</v>
      </c>
      <c r="M206" s="4" t="n">
        <v>691288.19</v>
      </c>
      <c r="N206" s="4" t="n">
        <v>159074.14</v>
      </c>
    </row>
    <row r="207" customFormat="false" ht="15" hidden="false" customHeight="true" outlineLevel="0" collapsed="false">
      <c r="A207" s="4" t="s">
        <v>75</v>
      </c>
      <c r="B207" s="5" t="n">
        <v>45717</v>
      </c>
      <c r="C207" s="4" t="s">
        <v>16</v>
      </c>
      <c r="D207" s="4" t="s">
        <v>19</v>
      </c>
      <c r="E207" s="4" t="n">
        <v>107970.19</v>
      </c>
      <c r="F207" s="4" t="n">
        <v>12870</v>
      </c>
      <c r="G207" s="4" t="n">
        <v>0.029</v>
      </c>
      <c r="H207" s="4" t="n">
        <v>31</v>
      </c>
      <c r="I207" s="4" t="n">
        <v>91.7</v>
      </c>
      <c r="J207" s="4" t="n">
        <v>3.82</v>
      </c>
      <c r="K207" s="4" t="n">
        <v>1</v>
      </c>
      <c r="L207" s="4" t="n">
        <v>3.7</v>
      </c>
      <c r="M207" s="4" t="n">
        <v>946833.54</v>
      </c>
      <c r="N207" s="4" t="n">
        <v>184540.31</v>
      </c>
    </row>
    <row r="208" customFormat="false" ht="15" hidden="false" customHeight="true" outlineLevel="0" collapsed="false">
      <c r="A208" s="4" t="s">
        <v>75</v>
      </c>
      <c r="B208" s="5" t="n">
        <v>45748</v>
      </c>
      <c r="C208" s="4" t="s">
        <v>16</v>
      </c>
      <c r="D208" s="4" t="s">
        <v>19</v>
      </c>
      <c r="E208" s="4" t="n">
        <v>49405.75</v>
      </c>
      <c r="F208" s="4" t="n">
        <v>9752</v>
      </c>
      <c r="G208" s="4" t="n">
        <v>0.093</v>
      </c>
      <c r="H208" s="4" t="n">
        <v>21</v>
      </c>
      <c r="I208" s="4" t="n">
        <v>87</v>
      </c>
      <c r="J208" s="4" t="n">
        <v>12.28</v>
      </c>
      <c r="K208" s="4" t="n">
        <v>0</v>
      </c>
      <c r="L208" s="4" t="n">
        <v>4.1</v>
      </c>
      <c r="M208" s="4" t="n">
        <v>761963.23</v>
      </c>
      <c r="N208" s="4" t="n">
        <v>150113.61</v>
      </c>
    </row>
    <row r="209" customFormat="false" ht="15" hidden="false" customHeight="true" outlineLevel="0" collapsed="false">
      <c r="A209" s="4" t="s">
        <v>76</v>
      </c>
      <c r="B209" s="5" t="n">
        <v>45658</v>
      </c>
      <c r="C209" s="4" t="s">
        <v>28</v>
      </c>
      <c r="D209" s="4" t="s">
        <v>17</v>
      </c>
      <c r="E209" s="4" t="n">
        <v>50887.46</v>
      </c>
      <c r="F209" s="4" t="n">
        <v>9505</v>
      </c>
      <c r="G209" s="4" t="n">
        <v>0.091</v>
      </c>
      <c r="H209" s="4" t="n">
        <v>25</v>
      </c>
      <c r="I209" s="4" t="n">
        <v>89.7</v>
      </c>
      <c r="J209" s="4" t="n">
        <v>2.8</v>
      </c>
      <c r="K209" s="4" t="n">
        <v>0</v>
      </c>
      <c r="L209" s="4" t="n">
        <v>4.3</v>
      </c>
      <c r="M209" s="4" t="n">
        <v>812152.6</v>
      </c>
      <c r="N209" s="4" t="n">
        <v>138419.43</v>
      </c>
    </row>
    <row r="210" customFormat="false" ht="15" hidden="false" customHeight="true" outlineLevel="0" collapsed="false">
      <c r="A210" s="4" t="s">
        <v>76</v>
      </c>
      <c r="B210" s="5" t="n">
        <v>45689</v>
      </c>
      <c r="C210" s="4" t="s">
        <v>28</v>
      </c>
      <c r="D210" s="4" t="s">
        <v>17</v>
      </c>
      <c r="E210" s="4" t="n">
        <v>41819.45</v>
      </c>
      <c r="F210" s="4" t="n">
        <v>9412</v>
      </c>
      <c r="G210" s="4" t="n">
        <v>0.15</v>
      </c>
      <c r="H210" s="4" t="n">
        <v>22</v>
      </c>
      <c r="I210" s="4" t="n">
        <v>91</v>
      </c>
      <c r="J210" s="4" t="n">
        <v>3.67</v>
      </c>
      <c r="K210" s="4" t="n">
        <v>0</v>
      </c>
      <c r="L210" s="4" t="n">
        <v>4.2</v>
      </c>
      <c r="M210" s="4" t="n">
        <v>804975.5</v>
      </c>
      <c r="N210" s="4" t="n">
        <v>140054.5</v>
      </c>
    </row>
    <row r="211" customFormat="false" ht="15" hidden="false" customHeight="true" outlineLevel="0" collapsed="false">
      <c r="A211" s="4" t="s">
        <v>76</v>
      </c>
      <c r="B211" s="5" t="n">
        <v>45717</v>
      </c>
      <c r="C211" s="4" t="s">
        <v>28</v>
      </c>
      <c r="D211" s="4" t="s">
        <v>17</v>
      </c>
      <c r="E211" s="4" t="n">
        <v>35296.54</v>
      </c>
      <c r="F211" s="4" t="n">
        <v>9644</v>
      </c>
      <c r="G211" s="4" t="n">
        <v>0</v>
      </c>
      <c r="H211" s="4" t="n">
        <v>22</v>
      </c>
      <c r="I211" s="4" t="n">
        <v>88</v>
      </c>
      <c r="J211" s="4" t="n">
        <v>2.81</v>
      </c>
      <c r="K211" s="4" t="n">
        <v>0</v>
      </c>
      <c r="L211" s="4" t="n">
        <v>4.7</v>
      </c>
      <c r="M211" s="4" t="n">
        <v>752321.72</v>
      </c>
      <c r="N211" s="4" t="n">
        <v>137788.51</v>
      </c>
    </row>
    <row r="212" customFormat="false" ht="15" hidden="false" customHeight="true" outlineLevel="0" collapsed="false">
      <c r="A212" s="4" t="s">
        <v>76</v>
      </c>
      <c r="B212" s="5" t="n">
        <v>45748</v>
      </c>
      <c r="C212" s="4" t="s">
        <v>28</v>
      </c>
      <c r="D212" s="4" t="s">
        <v>17</v>
      </c>
      <c r="E212" s="4" t="n">
        <v>47391.09</v>
      </c>
      <c r="F212" s="4" t="n">
        <v>11224</v>
      </c>
      <c r="G212" s="4" t="n">
        <v>0.147</v>
      </c>
      <c r="H212" s="4" t="n">
        <v>25</v>
      </c>
      <c r="I212" s="4" t="n">
        <v>88.4</v>
      </c>
      <c r="J212" s="4" t="n">
        <v>2.44</v>
      </c>
      <c r="K212" s="4" t="n">
        <v>0</v>
      </c>
      <c r="L212" s="4" t="n">
        <v>4.9</v>
      </c>
      <c r="M212" s="4" t="n">
        <v>836908.24</v>
      </c>
      <c r="N212" s="4" t="n">
        <v>141090.26</v>
      </c>
    </row>
    <row r="213" customFormat="false" ht="15" hidden="false" customHeight="true" outlineLevel="0" collapsed="false">
      <c r="A213" s="4" t="s">
        <v>77</v>
      </c>
      <c r="B213" s="5" t="n">
        <v>45658</v>
      </c>
      <c r="C213" s="4" t="s">
        <v>21</v>
      </c>
      <c r="D213" s="4" t="s">
        <v>22</v>
      </c>
      <c r="E213" s="4" t="n">
        <v>69180.54</v>
      </c>
      <c r="F213" s="4" t="n">
        <v>5394</v>
      </c>
      <c r="G213" s="4" t="n">
        <v>0.126</v>
      </c>
      <c r="H213" s="4" t="n">
        <v>12</v>
      </c>
      <c r="I213" s="4" t="n">
        <v>82.9</v>
      </c>
      <c r="J213" s="4" t="n">
        <v>3.27</v>
      </c>
      <c r="K213" s="4" t="n">
        <v>0</v>
      </c>
      <c r="L213" s="4" t="n">
        <v>3.3</v>
      </c>
      <c r="M213" s="4" t="n">
        <v>674289.1</v>
      </c>
      <c r="N213" s="4" t="n">
        <v>117773.79</v>
      </c>
    </row>
    <row r="214" customFormat="false" ht="15" hidden="false" customHeight="true" outlineLevel="0" collapsed="false">
      <c r="A214" s="4" t="s">
        <v>77</v>
      </c>
      <c r="B214" s="5" t="n">
        <v>45689</v>
      </c>
      <c r="C214" s="4" t="s">
        <v>21</v>
      </c>
      <c r="D214" s="4" t="s">
        <v>22</v>
      </c>
      <c r="E214" s="4" t="n">
        <v>33987.33</v>
      </c>
      <c r="F214" s="4" t="n">
        <v>5014</v>
      </c>
      <c r="G214" s="4" t="n">
        <v>0.246</v>
      </c>
      <c r="H214" s="4" t="n">
        <v>17</v>
      </c>
      <c r="I214" s="4" t="n">
        <v>94.3</v>
      </c>
      <c r="J214" s="4" t="n">
        <v>10.34</v>
      </c>
      <c r="K214" s="4" t="n">
        <v>0</v>
      </c>
      <c r="L214" s="4" t="n">
        <v>3.9</v>
      </c>
      <c r="M214" s="4" t="n">
        <v>622892.42</v>
      </c>
      <c r="N214" s="4" t="n">
        <v>101032.52</v>
      </c>
    </row>
    <row r="215" customFormat="false" ht="15" hidden="false" customHeight="true" outlineLevel="0" collapsed="false">
      <c r="A215" s="4" t="s">
        <v>77</v>
      </c>
      <c r="B215" s="5" t="n">
        <v>45717</v>
      </c>
      <c r="C215" s="4" t="s">
        <v>21</v>
      </c>
      <c r="D215" s="4" t="s">
        <v>22</v>
      </c>
      <c r="E215" s="4" t="n">
        <v>58785.33</v>
      </c>
      <c r="F215" s="4" t="n">
        <v>4467</v>
      </c>
      <c r="G215" s="4" t="n">
        <v>0.229</v>
      </c>
      <c r="H215" s="4" t="n">
        <v>14</v>
      </c>
      <c r="I215" s="4" t="n">
        <v>90.7</v>
      </c>
      <c r="J215" s="4" t="n">
        <v>1.92</v>
      </c>
      <c r="K215" s="4" t="n">
        <v>0</v>
      </c>
      <c r="L215" s="4" t="n">
        <v>3.7</v>
      </c>
      <c r="M215" s="4" t="n">
        <v>673348.56</v>
      </c>
      <c r="N215" s="4" t="n">
        <v>69464.59</v>
      </c>
    </row>
    <row r="216" customFormat="false" ht="15" hidden="false" customHeight="true" outlineLevel="0" collapsed="false">
      <c r="A216" s="4" t="s">
        <v>77</v>
      </c>
      <c r="B216" s="5" t="n">
        <v>45748</v>
      </c>
      <c r="C216" s="4" t="s">
        <v>21</v>
      </c>
      <c r="D216" s="4" t="s">
        <v>22</v>
      </c>
      <c r="E216" s="4" t="n">
        <v>16451.85</v>
      </c>
      <c r="F216" s="4" t="n">
        <v>4678</v>
      </c>
      <c r="G216" s="4" t="n">
        <v>0.133</v>
      </c>
      <c r="H216" s="4" t="n">
        <v>11</v>
      </c>
      <c r="I216" s="4" t="n">
        <v>95.9</v>
      </c>
      <c r="J216" s="4" t="n">
        <v>3.1</v>
      </c>
      <c r="K216" s="4" t="n">
        <v>0</v>
      </c>
      <c r="L216" s="4" t="n">
        <v>3.9</v>
      </c>
      <c r="M216" s="4" t="n">
        <v>606278.3</v>
      </c>
      <c r="N216" s="4" t="n">
        <v>102213.26</v>
      </c>
    </row>
    <row r="217" customFormat="false" ht="15" hidden="false" customHeight="true" outlineLevel="0" collapsed="false">
      <c r="A217" s="4" t="s">
        <v>78</v>
      </c>
      <c r="B217" s="5" t="n">
        <v>45658</v>
      </c>
      <c r="C217" s="4" t="s">
        <v>16</v>
      </c>
      <c r="D217" s="4" t="s">
        <v>19</v>
      </c>
      <c r="E217" s="4" t="n">
        <v>53367.73</v>
      </c>
      <c r="F217" s="4" t="n">
        <v>7291</v>
      </c>
      <c r="G217" s="4" t="n">
        <v>0.146</v>
      </c>
      <c r="H217" s="4" t="n">
        <v>18</v>
      </c>
      <c r="I217" s="4" t="n">
        <v>90.6</v>
      </c>
      <c r="J217" s="4" t="n">
        <v>6.34</v>
      </c>
      <c r="K217" s="4" t="n">
        <v>1</v>
      </c>
      <c r="L217" s="4" t="n">
        <v>3.8</v>
      </c>
      <c r="M217" s="4" t="n">
        <v>712219.81</v>
      </c>
      <c r="N217" s="4" t="n">
        <v>85906.54</v>
      </c>
    </row>
    <row r="218" customFormat="false" ht="15" hidden="false" customHeight="true" outlineLevel="0" collapsed="false">
      <c r="A218" s="4" t="s">
        <v>78</v>
      </c>
      <c r="B218" s="5" t="n">
        <v>45689</v>
      </c>
      <c r="C218" s="4" t="s">
        <v>16</v>
      </c>
      <c r="D218" s="4" t="s">
        <v>19</v>
      </c>
      <c r="E218" s="4" t="n">
        <v>27194.64</v>
      </c>
      <c r="F218" s="4" t="n">
        <v>7404</v>
      </c>
      <c r="G218" s="4" t="n">
        <v>0.088</v>
      </c>
      <c r="H218" s="4" t="n">
        <v>18</v>
      </c>
      <c r="I218" s="4" t="n">
        <v>90.2</v>
      </c>
      <c r="J218" s="4" t="n">
        <v>1.2</v>
      </c>
      <c r="K218" s="4" t="n">
        <v>0</v>
      </c>
      <c r="L218" s="4" t="n">
        <v>3.4</v>
      </c>
      <c r="M218" s="4" t="n">
        <v>672670.54</v>
      </c>
      <c r="N218" s="4" t="n">
        <v>132684.18</v>
      </c>
    </row>
    <row r="219" customFormat="false" ht="15" hidden="false" customHeight="true" outlineLevel="0" collapsed="false">
      <c r="A219" s="4" t="s">
        <v>78</v>
      </c>
      <c r="B219" s="5" t="n">
        <v>45717</v>
      </c>
      <c r="C219" s="4" t="s">
        <v>16</v>
      </c>
      <c r="D219" s="4" t="s">
        <v>19</v>
      </c>
      <c r="E219" s="4" t="n">
        <v>66962.74</v>
      </c>
      <c r="F219" s="4" t="n">
        <v>7880</v>
      </c>
      <c r="G219" s="4" t="n">
        <v>0.116</v>
      </c>
      <c r="H219" s="4" t="n">
        <v>19</v>
      </c>
      <c r="I219" s="4" t="n">
        <v>90.4</v>
      </c>
      <c r="J219" s="4" t="n">
        <v>4.5</v>
      </c>
      <c r="K219" s="4" t="n">
        <v>0</v>
      </c>
      <c r="L219" s="4" t="n">
        <v>3.3</v>
      </c>
      <c r="M219" s="4" t="n">
        <v>732667.92</v>
      </c>
      <c r="N219" s="4" t="n">
        <v>128654.46</v>
      </c>
    </row>
    <row r="220" customFormat="false" ht="15" hidden="false" customHeight="true" outlineLevel="0" collapsed="false">
      <c r="A220" s="4" t="s">
        <v>78</v>
      </c>
      <c r="B220" s="5" t="n">
        <v>45748</v>
      </c>
      <c r="C220" s="4" t="s">
        <v>16</v>
      </c>
      <c r="D220" s="4" t="s">
        <v>19</v>
      </c>
      <c r="E220" s="4" t="n">
        <v>73540.99</v>
      </c>
      <c r="F220" s="4" t="n">
        <v>8773</v>
      </c>
      <c r="G220" s="4" t="n">
        <v>0.035</v>
      </c>
      <c r="H220" s="4" t="n">
        <v>21</v>
      </c>
      <c r="I220" s="4" t="n">
        <v>84.4</v>
      </c>
      <c r="J220" s="4" t="n">
        <v>6.68</v>
      </c>
      <c r="K220" s="4" t="n">
        <v>0</v>
      </c>
      <c r="L220" s="4" t="n">
        <v>3.6</v>
      </c>
      <c r="M220" s="4" t="n">
        <v>723531.4</v>
      </c>
      <c r="N220" s="4" t="n">
        <v>108794.85</v>
      </c>
    </row>
    <row r="221" customFormat="false" ht="15" hidden="false" customHeight="true" outlineLevel="0" collapsed="false">
      <c r="A221" s="4" t="s">
        <v>79</v>
      </c>
      <c r="B221" s="5" t="n">
        <v>45658</v>
      </c>
      <c r="C221" s="4" t="s">
        <v>16</v>
      </c>
      <c r="D221" s="4" t="s">
        <v>29</v>
      </c>
      <c r="E221" s="4" t="n">
        <v>68212.29</v>
      </c>
      <c r="F221" s="4" t="n">
        <v>4713</v>
      </c>
      <c r="G221" s="4" t="n">
        <v>0.198</v>
      </c>
      <c r="H221" s="4" t="n">
        <v>15</v>
      </c>
      <c r="I221" s="4" t="n">
        <v>82.6</v>
      </c>
      <c r="J221" s="4" t="n">
        <v>4.07</v>
      </c>
      <c r="K221" s="4" t="n">
        <v>1</v>
      </c>
      <c r="L221" s="4" t="n">
        <v>3</v>
      </c>
      <c r="M221" s="4" t="n">
        <v>641564.6</v>
      </c>
      <c r="N221" s="4" t="n">
        <v>90468.96</v>
      </c>
    </row>
    <row r="222" customFormat="false" ht="15" hidden="false" customHeight="true" outlineLevel="0" collapsed="false">
      <c r="A222" s="4" t="s">
        <v>79</v>
      </c>
      <c r="B222" s="5" t="n">
        <v>45689</v>
      </c>
      <c r="C222" s="4" t="s">
        <v>16</v>
      </c>
      <c r="D222" s="4" t="s">
        <v>29</v>
      </c>
      <c r="E222" s="4" t="n">
        <v>57225.98</v>
      </c>
      <c r="F222" s="4" t="n">
        <v>2842</v>
      </c>
      <c r="G222" s="4" t="n">
        <v>0.112</v>
      </c>
      <c r="H222" s="4" t="n">
        <v>10</v>
      </c>
      <c r="I222" s="4" t="n">
        <v>79.5</v>
      </c>
      <c r="J222" s="4" t="n">
        <v>5.45</v>
      </c>
      <c r="K222" s="4" t="n">
        <v>0</v>
      </c>
      <c r="L222" s="4" t="n">
        <v>3.4</v>
      </c>
      <c r="M222" s="4" t="n">
        <v>536545.49</v>
      </c>
      <c r="N222" s="4" t="n">
        <v>97917.45</v>
      </c>
    </row>
    <row r="223" customFormat="false" ht="15" hidden="false" customHeight="true" outlineLevel="0" collapsed="false">
      <c r="A223" s="4" t="s">
        <v>79</v>
      </c>
      <c r="B223" s="5" t="n">
        <v>45717</v>
      </c>
      <c r="C223" s="4" t="s">
        <v>16</v>
      </c>
      <c r="D223" s="4" t="s">
        <v>29</v>
      </c>
      <c r="E223" s="4" t="n">
        <v>42932.02</v>
      </c>
      <c r="F223" s="4" t="n">
        <v>3872</v>
      </c>
      <c r="G223" s="4" t="n">
        <v>0.171</v>
      </c>
      <c r="H223" s="4" t="n">
        <v>12</v>
      </c>
      <c r="I223" s="4" t="n">
        <v>83.2</v>
      </c>
      <c r="J223" s="4" t="n">
        <v>15.58</v>
      </c>
      <c r="K223" s="4" t="n">
        <v>0</v>
      </c>
      <c r="L223" s="4" t="n">
        <v>3.3</v>
      </c>
      <c r="M223" s="4" t="n">
        <v>527681.56</v>
      </c>
      <c r="N223" s="4" t="n">
        <v>63153.05</v>
      </c>
    </row>
    <row r="224" customFormat="false" ht="15" hidden="false" customHeight="true" outlineLevel="0" collapsed="false">
      <c r="A224" s="4" t="s">
        <v>80</v>
      </c>
      <c r="B224" s="5" t="n">
        <v>45658</v>
      </c>
      <c r="C224" s="4" t="s">
        <v>16</v>
      </c>
      <c r="D224" s="4" t="s">
        <v>19</v>
      </c>
      <c r="E224" s="4" t="n">
        <v>37324.23</v>
      </c>
      <c r="F224" s="4" t="n">
        <v>5957</v>
      </c>
      <c r="G224" s="4" t="n">
        <v>0.071</v>
      </c>
      <c r="H224" s="4" t="n">
        <v>12</v>
      </c>
      <c r="I224" s="4" t="n">
        <v>85.9</v>
      </c>
      <c r="J224" s="4" t="n">
        <v>0.37</v>
      </c>
      <c r="K224" s="4" t="n">
        <v>0</v>
      </c>
      <c r="L224" s="4" t="n">
        <v>3.8</v>
      </c>
      <c r="M224" s="4" t="n">
        <v>570963.31</v>
      </c>
      <c r="N224" s="4" t="n">
        <v>87342.25</v>
      </c>
    </row>
    <row r="225" customFormat="false" ht="15" hidden="false" customHeight="true" outlineLevel="0" collapsed="false">
      <c r="A225" s="4" t="s">
        <v>80</v>
      </c>
      <c r="B225" s="5" t="n">
        <v>45689</v>
      </c>
      <c r="C225" s="4" t="s">
        <v>16</v>
      </c>
      <c r="D225" s="4" t="s">
        <v>19</v>
      </c>
      <c r="E225" s="4" t="n">
        <v>113736</v>
      </c>
      <c r="F225" s="4" t="n">
        <v>8961</v>
      </c>
      <c r="G225" s="4" t="n">
        <v>0.202</v>
      </c>
      <c r="H225" s="4" t="n">
        <v>24</v>
      </c>
      <c r="I225" s="4" t="n">
        <v>86.2</v>
      </c>
      <c r="J225" s="4" t="n">
        <v>21.63</v>
      </c>
      <c r="K225" s="4" t="n">
        <v>0</v>
      </c>
      <c r="L225" s="4" t="n">
        <v>4</v>
      </c>
      <c r="M225" s="4" t="n">
        <v>870937.4</v>
      </c>
      <c r="N225" s="4" t="n">
        <v>175282.74</v>
      </c>
    </row>
    <row r="226" customFormat="false" ht="15" hidden="false" customHeight="true" outlineLevel="0" collapsed="false">
      <c r="A226" s="4" t="s">
        <v>80</v>
      </c>
      <c r="B226" s="5" t="n">
        <v>45717</v>
      </c>
      <c r="C226" s="4" t="s">
        <v>16</v>
      </c>
      <c r="D226" s="4" t="s">
        <v>19</v>
      </c>
      <c r="E226" s="4" t="n">
        <v>33173.95</v>
      </c>
      <c r="F226" s="4" t="n">
        <v>6545</v>
      </c>
      <c r="G226" s="4" t="n">
        <v>0.169</v>
      </c>
      <c r="H226" s="4" t="n">
        <v>15</v>
      </c>
      <c r="I226" s="4" t="n">
        <v>84.4</v>
      </c>
      <c r="J226" s="4" t="n">
        <v>2.48</v>
      </c>
      <c r="K226" s="4" t="n">
        <v>0</v>
      </c>
      <c r="L226" s="4" t="n">
        <v>3.9</v>
      </c>
      <c r="M226" s="4" t="n">
        <v>596969.27</v>
      </c>
      <c r="N226" s="4" t="n">
        <v>105669.51</v>
      </c>
    </row>
    <row r="227" customFormat="false" ht="15" hidden="false" customHeight="true" outlineLevel="0" collapsed="false">
      <c r="A227" s="4" t="s">
        <v>81</v>
      </c>
      <c r="B227" s="5" t="n">
        <v>45658</v>
      </c>
      <c r="C227" s="4" t="s">
        <v>28</v>
      </c>
      <c r="D227" s="4" t="s">
        <v>17</v>
      </c>
      <c r="E227" s="4" t="n">
        <v>47241.92</v>
      </c>
      <c r="F227" s="4" t="n">
        <v>4264</v>
      </c>
      <c r="G227" s="4" t="n">
        <v>0.069</v>
      </c>
      <c r="H227" s="4" t="n">
        <v>13</v>
      </c>
      <c r="I227" s="4" t="n">
        <v>95.3</v>
      </c>
      <c r="J227" s="4" t="n">
        <v>0.85</v>
      </c>
      <c r="K227" s="4" t="n">
        <v>0</v>
      </c>
      <c r="L227" s="4" t="n">
        <v>4.3</v>
      </c>
      <c r="M227" s="4" t="n">
        <v>658072.14</v>
      </c>
      <c r="N227" s="4" t="n">
        <v>110595.89</v>
      </c>
    </row>
    <row r="228" customFormat="false" ht="15" hidden="false" customHeight="true" outlineLevel="0" collapsed="false">
      <c r="A228" s="4" t="s">
        <v>81</v>
      </c>
      <c r="B228" s="5" t="n">
        <v>45689</v>
      </c>
      <c r="C228" s="4" t="s">
        <v>28</v>
      </c>
      <c r="D228" s="4" t="s">
        <v>17</v>
      </c>
      <c r="E228" s="4" t="n">
        <v>61650.79</v>
      </c>
      <c r="F228" s="4" t="n">
        <v>5321</v>
      </c>
      <c r="G228" s="4" t="n">
        <v>0.126</v>
      </c>
      <c r="H228" s="4" t="n">
        <v>17</v>
      </c>
      <c r="I228" s="4" t="n">
        <v>89.2</v>
      </c>
      <c r="J228" s="4" t="n">
        <v>2.13</v>
      </c>
      <c r="K228" s="4" t="n">
        <v>0</v>
      </c>
      <c r="L228" s="4" t="n">
        <v>4</v>
      </c>
      <c r="M228" s="4" t="n">
        <v>723305.11</v>
      </c>
      <c r="N228" s="4" t="n">
        <v>128468.7</v>
      </c>
    </row>
    <row r="229" customFormat="false" ht="15" hidden="false" customHeight="true" outlineLevel="0" collapsed="false">
      <c r="A229" s="4" t="s">
        <v>81</v>
      </c>
      <c r="B229" s="5" t="n">
        <v>45717</v>
      </c>
      <c r="C229" s="4" t="s">
        <v>28</v>
      </c>
      <c r="D229" s="4" t="s">
        <v>17</v>
      </c>
      <c r="E229" s="4" t="n">
        <v>62582.71</v>
      </c>
      <c r="F229" s="4" t="n">
        <v>5479</v>
      </c>
      <c r="G229" s="4" t="n">
        <v>0.048</v>
      </c>
      <c r="H229" s="4" t="n">
        <v>16</v>
      </c>
      <c r="I229" s="4" t="n">
        <v>81.2</v>
      </c>
      <c r="J229" s="4" t="n">
        <v>1.46</v>
      </c>
      <c r="K229" s="4" t="n">
        <v>0</v>
      </c>
      <c r="L229" s="4" t="n">
        <v>4.5</v>
      </c>
      <c r="M229" s="4" t="n">
        <v>640666.53</v>
      </c>
      <c r="N229" s="4" t="n">
        <v>134919.16</v>
      </c>
    </row>
    <row r="230" customFormat="false" ht="15" hidden="false" customHeight="true" outlineLevel="0" collapsed="false">
      <c r="A230" s="4" t="s">
        <v>81</v>
      </c>
      <c r="B230" s="5" t="n">
        <v>45748</v>
      </c>
      <c r="C230" s="4" t="s">
        <v>28</v>
      </c>
      <c r="D230" s="4" t="s">
        <v>17</v>
      </c>
      <c r="E230" s="4" t="n">
        <v>47944.14</v>
      </c>
      <c r="F230" s="4" t="n">
        <v>6169</v>
      </c>
      <c r="G230" s="4" t="n">
        <v>0.119</v>
      </c>
      <c r="H230" s="4" t="n">
        <v>17</v>
      </c>
      <c r="I230" s="4" t="n">
        <v>92.2</v>
      </c>
      <c r="J230" s="4" t="n">
        <v>3.02</v>
      </c>
      <c r="K230" s="4" t="n">
        <v>0</v>
      </c>
      <c r="L230" s="4" t="n">
        <v>4.1</v>
      </c>
      <c r="M230" s="4" t="n">
        <v>670629.48</v>
      </c>
      <c r="N230" s="4" t="n">
        <v>100140.8</v>
      </c>
    </row>
    <row r="231" customFormat="false" ht="15" hidden="false" customHeight="true" outlineLevel="0" collapsed="false">
      <c r="A231" s="4" t="s">
        <v>82</v>
      </c>
      <c r="B231" s="5" t="n">
        <v>45658</v>
      </c>
      <c r="C231" s="4" t="s">
        <v>28</v>
      </c>
      <c r="D231" s="4" t="s">
        <v>29</v>
      </c>
      <c r="E231" s="4" t="n">
        <v>46495.4</v>
      </c>
      <c r="F231" s="4" t="n">
        <v>9908</v>
      </c>
      <c r="G231" s="4" t="n">
        <v>0.121</v>
      </c>
      <c r="H231" s="4" t="n">
        <v>22</v>
      </c>
      <c r="I231" s="4" t="n">
        <v>89.4</v>
      </c>
      <c r="J231" s="4" t="n">
        <v>3.22</v>
      </c>
      <c r="K231" s="4" t="n">
        <v>0</v>
      </c>
      <c r="L231" s="4" t="n">
        <v>3.7</v>
      </c>
      <c r="M231" s="4" t="n">
        <v>721079.35</v>
      </c>
      <c r="N231" s="4" t="n">
        <v>115295.05</v>
      </c>
    </row>
    <row r="232" customFormat="false" ht="15" hidden="false" customHeight="true" outlineLevel="0" collapsed="false">
      <c r="A232" s="4" t="s">
        <v>82</v>
      </c>
      <c r="B232" s="5" t="n">
        <v>45689</v>
      </c>
      <c r="C232" s="4" t="s">
        <v>28</v>
      </c>
      <c r="D232" s="4" t="s">
        <v>29</v>
      </c>
      <c r="E232" s="4" t="n">
        <v>72961.95</v>
      </c>
      <c r="F232" s="4" t="n">
        <v>9996</v>
      </c>
      <c r="G232" s="4" t="n">
        <v>0.106</v>
      </c>
      <c r="H232" s="4" t="n">
        <v>22</v>
      </c>
      <c r="I232" s="4" t="n">
        <v>89.1</v>
      </c>
      <c r="J232" s="4" t="n">
        <v>15.66</v>
      </c>
      <c r="K232" s="4" t="n">
        <v>0</v>
      </c>
      <c r="L232" s="4" t="n">
        <v>3.4</v>
      </c>
      <c r="M232" s="4" t="n">
        <v>810355.02</v>
      </c>
      <c r="N232" s="4" t="n">
        <v>131510</v>
      </c>
    </row>
    <row r="233" customFormat="false" ht="15" hidden="false" customHeight="true" outlineLevel="0" collapsed="false">
      <c r="A233" s="4" t="s">
        <v>82</v>
      </c>
      <c r="B233" s="5" t="n">
        <v>45717</v>
      </c>
      <c r="C233" s="4" t="s">
        <v>28</v>
      </c>
      <c r="D233" s="4" t="s">
        <v>29</v>
      </c>
      <c r="E233" s="4" t="n">
        <v>59060.05</v>
      </c>
      <c r="F233" s="4" t="n">
        <v>9702</v>
      </c>
      <c r="G233" s="4" t="n">
        <v>0.201</v>
      </c>
      <c r="H233" s="4" t="n">
        <v>23</v>
      </c>
      <c r="I233" s="4" t="n">
        <v>80.9</v>
      </c>
      <c r="J233" s="4" t="n">
        <v>6.96</v>
      </c>
      <c r="K233" s="4" t="n">
        <v>0</v>
      </c>
      <c r="L233" s="4" t="n">
        <v>3.2</v>
      </c>
      <c r="M233" s="4" t="n">
        <v>761919.25</v>
      </c>
      <c r="N233" s="4" t="n">
        <v>111893.06</v>
      </c>
    </row>
    <row r="234" customFormat="false" ht="15" hidden="false" customHeight="true" outlineLevel="0" collapsed="false">
      <c r="A234" s="4" t="s">
        <v>82</v>
      </c>
      <c r="B234" s="5" t="n">
        <v>45748</v>
      </c>
      <c r="C234" s="4" t="s">
        <v>28</v>
      </c>
      <c r="D234" s="4" t="s">
        <v>29</v>
      </c>
      <c r="E234" s="4" t="n">
        <v>26248.1</v>
      </c>
      <c r="F234" s="4" t="n">
        <v>9314</v>
      </c>
      <c r="G234" s="4" t="n">
        <v>0.186</v>
      </c>
      <c r="H234" s="4" t="n">
        <v>21</v>
      </c>
      <c r="I234" s="4" t="n">
        <v>83.7</v>
      </c>
      <c r="J234" s="4" t="n">
        <v>4.62</v>
      </c>
      <c r="K234" s="4" t="n">
        <v>0</v>
      </c>
      <c r="L234" s="4" t="n">
        <v>3.3</v>
      </c>
      <c r="M234" s="4" t="n">
        <v>737070.18</v>
      </c>
      <c r="N234" s="4" t="n">
        <v>117593.97</v>
      </c>
    </row>
    <row r="235" customFormat="false" ht="15" hidden="false" customHeight="true" outlineLevel="0" collapsed="false">
      <c r="A235" s="4" t="s">
        <v>83</v>
      </c>
      <c r="B235" s="5" t="n">
        <v>45658</v>
      </c>
      <c r="C235" s="4" t="s">
        <v>25</v>
      </c>
      <c r="D235" s="4" t="s">
        <v>22</v>
      </c>
      <c r="E235" s="4" t="n">
        <v>69900.12</v>
      </c>
      <c r="F235" s="4" t="n">
        <v>8055</v>
      </c>
      <c r="G235" s="4" t="n">
        <v>0.281</v>
      </c>
      <c r="H235" s="4" t="n">
        <v>22</v>
      </c>
      <c r="I235" s="4" t="n">
        <v>85.6</v>
      </c>
      <c r="J235" s="4" t="n">
        <v>10.68</v>
      </c>
      <c r="K235" s="4" t="n">
        <v>1</v>
      </c>
      <c r="L235" s="4" t="n">
        <v>2.9</v>
      </c>
      <c r="M235" s="4" t="n">
        <v>776992.93</v>
      </c>
      <c r="N235" s="4" t="n">
        <v>101598.32</v>
      </c>
    </row>
    <row r="236" customFormat="false" ht="15" hidden="false" customHeight="true" outlineLevel="0" collapsed="false">
      <c r="A236" s="4" t="s">
        <v>83</v>
      </c>
      <c r="B236" s="5" t="n">
        <v>45689</v>
      </c>
      <c r="C236" s="4" t="s">
        <v>25</v>
      </c>
      <c r="D236" s="4" t="s">
        <v>22</v>
      </c>
      <c r="E236" s="4" t="n">
        <v>51781.6</v>
      </c>
      <c r="F236" s="4" t="n">
        <v>5648</v>
      </c>
      <c r="G236" s="4" t="n">
        <v>0.059</v>
      </c>
      <c r="H236" s="4" t="n">
        <v>13</v>
      </c>
      <c r="I236" s="4" t="n">
        <v>85.5</v>
      </c>
      <c r="J236" s="4" t="n">
        <v>4.04</v>
      </c>
      <c r="K236" s="4" t="n">
        <v>0</v>
      </c>
      <c r="L236" s="4" t="n">
        <v>3.7</v>
      </c>
      <c r="M236" s="4" t="n">
        <v>676337.41</v>
      </c>
      <c r="N236" s="4" t="n">
        <v>104355.77</v>
      </c>
    </row>
    <row r="237" customFormat="false" ht="15" hidden="false" customHeight="true" outlineLevel="0" collapsed="false">
      <c r="A237" s="4" t="s">
        <v>83</v>
      </c>
      <c r="B237" s="5" t="n">
        <v>45717</v>
      </c>
      <c r="C237" s="4" t="s">
        <v>25</v>
      </c>
      <c r="D237" s="4" t="s">
        <v>22</v>
      </c>
      <c r="E237" s="4" t="n">
        <v>70799.64</v>
      </c>
      <c r="F237" s="4" t="n">
        <v>10076</v>
      </c>
      <c r="G237" s="4" t="n">
        <v>0.152</v>
      </c>
      <c r="H237" s="4" t="n">
        <v>24</v>
      </c>
      <c r="I237" s="4" t="n">
        <v>84.8</v>
      </c>
      <c r="J237" s="4" t="n">
        <v>1.87</v>
      </c>
      <c r="K237" s="4" t="n">
        <v>0</v>
      </c>
      <c r="L237" s="4" t="n">
        <v>3.5</v>
      </c>
      <c r="M237" s="4" t="n">
        <v>828219.67</v>
      </c>
      <c r="N237" s="4" t="n">
        <v>179806.87</v>
      </c>
    </row>
    <row r="238" customFormat="false" ht="15" hidden="false" customHeight="true" outlineLevel="0" collapsed="false">
      <c r="A238" s="4" t="s">
        <v>83</v>
      </c>
      <c r="B238" s="5" t="n">
        <v>45748</v>
      </c>
      <c r="C238" s="4" t="s">
        <v>25</v>
      </c>
      <c r="D238" s="4" t="s">
        <v>22</v>
      </c>
      <c r="E238" s="4" t="n">
        <v>53546.34</v>
      </c>
      <c r="F238" s="4" t="n">
        <v>8004</v>
      </c>
      <c r="G238" s="4" t="n">
        <v>0</v>
      </c>
      <c r="H238" s="4" t="n">
        <v>21</v>
      </c>
      <c r="I238" s="4" t="n">
        <v>95.2</v>
      </c>
      <c r="J238" s="4" t="n">
        <v>2.83</v>
      </c>
      <c r="K238" s="4" t="n">
        <v>0</v>
      </c>
      <c r="L238" s="4" t="n">
        <v>3</v>
      </c>
      <c r="M238" s="4" t="n">
        <v>763159.92</v>
      </c>
      <c r="N238" s="4" t="n">
        <v>177104.87</v>
      </c>
    </row>
    <row r="239" customFormat="false" ht="15" hidden="false" customHeight="true" outlineLevel="0" collapsed="false">
      <c r="A239" s="4" t="s">
        <v>84</v>
      </c>
      <c r="B239" s="5" t="n">
        <v>45658</v>
      </c>
      <c r="C239" s="4" t="s">
        <v>16</v>
      </c>
      <c r="D239" s="4" t="s">
        <v>19</v>
      </c>
      <c r="E239" s="4" t="n">
        <v>76942.2</v>
      </c>
      <c r="F239" s="4" t="n">
        <v>8934</v>
      </c>
      <c r="G239" s="4" t="n">
        <v>0.084</v>
      </c>
      <c r="H239" s="4" t="n">
        <v>20</v>
      </c>
      <c r="I239" s="4" t="n">
        <v>91</v>
      </c>
      <c r="J239" s="4" t="n">
        <v>0.95</v>
      </c>
      <c r="K239" s="4" t="n">
        <v>0</v>
      </c>
      <c r="L239" s="4" t="n">
        <v>3.2</v>
      </c>
      <c r="M239" s="4" t="n">
        <v>802001.68</v>
      </c>
      <c r="N239" s="4" t="n">
        <v>159715.82</v>
      </c>
    </row>
    <row r="240" customFormat="false" ht="15" hidden="false" customHeight="true" outlineLevel="0" collapsed="false">
      <c r="A240" s="4" t="s">
        <v>84</v>
      </c>
      <c r="B240" s="5" t="n">
        <v>45689</v>
      </c>
      <c r="C240" s="4" t="s">
        <v>16</v>
      </c>
      <c r="D240" s="4" t="s">
        <v>19</v>
      </c>
      <c r="E240" s="4" t="n">
        <v>48060.78</v>
      </c>
      <c r="F240" s="4" t="n">
        <v>8733</v>
      </c>
      <c r="G240" s="4" t="n">
        <v>0</v>
      </c>
      <c r="H240" s="4" t="n">
        <v>20</v>
      </c>
      <c r="I240" s="4" t="n">
        <v>89.9</v>
      </c>
      <c r="J240" s="4" t="n">
        <v>0.8</v>
      </c>
      <c r="K240" s="4" t="n">
        <v>0</v>
      </c>
      <c r="L240" s="4" t="n">
        <v>3.4</v>
      </c>
      <c r="M240" s="4" t="n">
        <v>750471.34</v>
      </c>
      <c r="N240" s="4" t="n">
        <v>133788.04</v>
      </c>
    </row>
    <row r="241" customFormat="false" ht="15" hidden="false" customHeight="true" outlineLevel="0" collapsed="false">
      <c r="A241" s="4" t="s">
        <v>84</v>
      </c>
      <c r="B241" s="5" t="n">
        <v>45717</v>
      </c>
      <c r="C241" s="4" t="s">
        <v>16</v>
      </c>
      <c r="D241" s="4" t="s">
        <v>19</v>
      </c>
      <c r="E241" s="4" t="n">
        <v>57390.04</v>
      </c>
      <c r="F241" s="4" t="n">
        <v>7374</v>
      </c>
      <c r="G241" s="4" t="n">
        <v>0.21</v>
      </c>
      <c r="H241" s="4" t="n">
        <v>21</v>
      </c>
      <c r="I241" s="4" t="n">
        <v>91.8</v>
      </c>
      <c r="J241" s="4" t="n">
        <v>0.2</v>
      </c>
      <c r="K241" s="4" t="n">
        <v>0</v>
      </c>
      <c r="L241" s="4" t="n">
        <v>3.1</v>
      </c>
      <c r="M241" s="4" t="n">
        <v>679230.86</v>
      </c>
      <c r="N241" s="4" t="n">
        <v>106927.58</v>
      </c>
    </row>
    <row r="242" customFormat="false" ht="15" hidden="false" customHeight="true" outlineLevel="0" collapsed="false">
      <c r="A242" s="4" t="s">
        <v>84</v>
      </c>
      <c r="B242" s="5" t="n">
        <v>45748</v>
      </c>
      <c r="C242" s="4" t="s">
        <v>16</v>
      </c>
      <c r="D242" s="4" t="s">
        <v>19</v>
      </c>
      <c r="E242" s="4" t="n">
        <v>21536.18</v>
      </c>
      <c r="F242" s="4" t="n">
        <v>8119</v>
      </c>
      <c r="G242" s="4" t="n">
        <v>0.227</v>
      </c>
      <c r="H242" s="4" t="n">
        <v>20</v>
      </c>
      <c r="I242" s="4" t="n">
        <v>90.4</v>
      </c>
      <c r="J242" s="4" t="n">
        <v>1.7</v>
      </c>
      <c r="K242" s="4" t="n">
        <v>0</v>
      </c>
      <c r="L242" s="4" t="n">
        <v>3.3</v>
      </c>
      <c r="M242" s="4" t="n">
        <v>679888.74</v>
      </c>
      <c r="N242" s="4" t="n">
        <v>83406.89</v>
      </c>
    </row>
    <row r="243" customFormat="false" ht="15" hidden="false" customHeight="true" outlineLevel="0" collapsed="false">
      <c r="A243" s="4" t="s">
        <v>85</v>
      </c>
      <c r="B243" s="5" t="n">
        <v>45689</v>
      </c>
      <c r="C243" s="4" t="s">
        <v>21</v>
      </c>
      <c r="D243" s="4" t="s">
        <v>19</v>
      </c>
      <c r="E243" s="4" t="n">
        <v>72932.55</v>
      </c>
      <c r="F243" s="4" t="n">
        <v>5765</v>
      </c>
      <c r="G243" s="4" t="n">
        <v>0.026</v>
      </c>
      <c r="H243" s="4" t="n">
        <v>17</v>
      </c>
      <c r="I243" s="4" t="n">
        <v>81.8</v>
      </c>
      <c r="J243" s="4" t="n">
        <v>5.1</v>
      </c>
      <c r="K243" s="4" t="n">
        <v>0</v>
      </c>
      <c r="L243" s="4" t="n">
        <v>3.6</v>
      </c>
      <c r="M243" s="4" t="n">
        <v>642751.42</v>
      </c>
      <c r="N243" s="4" t="n">
        <v>131942.15</v>
      </c>
    </row>
    <row r="244" customFormat="false" ht="15" hidden="false" customHeight="true" outlineLevel="0" collapsed="false">
      <c r="A244" s="4" t="s">
        <v>85</v>
      </c>
      <c r="B244" s="5" t="n">
        <v>45717</v>
      </c>
      <c r="C244" s="4" t="s">
        <v>21</v>
      </c>
      <c r="D244" s="4" t="s">
        <v>19</v>
      </c>
      <c r="E244" s="4" t="n">
        <v>38361.93</v>
      </c>
      <c r="F244" s="4" t="n">
        <v>6322</v>
      </c>
      <c r="G244" s="4" t="n">
        <v>0.273</v>
      </c>
      <c r="H244" s="4" t="n">
        <v>15</v>
      </c>
      <c r="I244" s="4" t="n">
        <v>88.4</v>
      </c>
      <c r="J244" s="4" t="n">
        <v>0.83</v>
      </c>
      <c r="K244" s="4" t="n">
        <v>0</v>
      </c>
      <c r="L244" s="4" t="n">
        <v>4</v>
      </c>
      <c r="M244" s="4" t="n">
        <v>647953.78</v>
      </c>
      <c r="N244" s="4" t="n">
        <v>118497.43</v>
      </c>
    </row>
    <row r="245" customFormat="false" ht="15" hidden="false" customHeight="true" outlineLevel="0" collapsed="false">
      <c r="A245" s="4" t="s">
        <v>85</v>
      </c>
      <c r="B245" s="5" t="n">
        <v>45748</v>
      </c>
      <c r="C245" s="4" t="s">
        <v>21</v>
      </c>
      <c r="D245" s="4" t="s">
        <v>19</v>
      </c>
      <c r="E245" s="4" t="n">
        <v>97480.94</v>
      </c>
      <c r="F245" s="4" t="n">
        <v>6840</v>
      </c>
      <c r="G245" s="4" t="n">
        <v>0.087</v>
      </c>
      <c r="H245" s="4" t="n">
        <v>14</v>
      </c>
      <c r="I245" s="4" t="n">
        <v>79.2</v>
      </c>
      <c r="J245" s="4" t="n">
        <v>1.14</v>
      </c>
      <c r="K245" s="4" t="n">
        <v>0</v>
      </c>
      <c r="L245" s="4" t="n">
        <v>4</v>
      </c>
      <c r="M245" s="4" t="n">
        <v>729440.45</v>
      </c>
      <c r="N245" s="4" t="n">
        <v>87614.29</v>
      </c>
    </row>
    <row r="246" customFormat="false" ht="15" hidden="false" customHeight="true" outlineLevel="0" collapsed="false">
      <c r="A246" s="4" t="s">
        <v>86</v>
      </c>
      <c r="B246" s="5" t="n">
        <v>45658</v>
      </c>
      <c r="C246" s="4" t="s">
        <v>25</v>
      </c>
      <c r="D246" s="4" t="s">
        <v>22</v>
      </c>
      <c r="E246" s="4" t="n">
        <v>81801.8</v>
      </c>
      <c r="F246" s="4" t="n">
        <v>6782</v>
      </c>
      <c r="G246" s="4" t="n">
        <v>0.05</v>
      </c>
      <c r="H246" s="4" t="n">
        <v>16</v>
      </c>
      <c r="I246" s="4" t="n">
        <v>99</v>
      </c>
      <c r="J246" s="4" t="n">
        <v>9.54</v>
      </c>
      <c r="K246" s="4" t="n">
        <v>0</v>
      </c>
      <c r="L246" s="4" t="n">
        <v>3.7</v>
      </c>
      <c r="M246" s="4" t="n">
        <v>764949</v>
      </c>
      <c r="N246" s="4" t="n">
        <v>148322.43</v>
      </c>
    </row>
    <row r="247" customFormat="false" ht="15" hidden="false" customHeight="true" outlineLevel="0" collapsed="false">
      <c r="A247" s="4" t="s">
        <v>86</v>
      </c>
      <c r="B247" s="5" t="n">
        <v>45689</v>
      </c>
      <c r="C247" s="4" t="s">
        <v>25</v>
      </c>
      <c r="D247" s="4" t="s">
        <v>22</v>
      </c>
      <c r="E247" s="4" t="n">
        <v>63582.11</v>
      </c>
      <c r="F247" s="4" t="n">
        <v>6856</v>
      </c>
      <c r="G247" s="4" t="n">
        <v>0.074</v>
      </c>
      <c r="H247" s="4" t="n">
        <v>17</v>
      </c>
      <c r="I247" s="4" t="n">
        <v>89.5</v>
      </c>
      <c r="J247" s="4" t="n">
        <v>5.48</v>
      </c>
      <c r="K247" s="4" t="n">
        <v>0</v>
      </c>
      <c r="L247" s="4" t="n">
        <v>3.2</v>
      </c>
      <c r="M247" s="4" t="n">
        <v>799046.94</v>
      </c>
      <c r="N247" s="4" t="n">
        <v>144553.64</v>
      </c>
    </row>
    <row r="248" customFormat="false" ht="15" hidden="false" customHeight="true" outlineLevel="0" collapsed="false">
      <c r="A248" s="4" t="s">
        <v>86</v>
      </c>
      <c r="B248" s="5" t="n">
        <v>45717</v>
      </c>
      <c r="C248" s="4" t="s">
        <v>25</v>
      </c>
      <c r="D248" s="4" t="s">
        <v>22</v>
      </c>
      <c r="E248" s="4" t="n">
        <v>75412.74</v>
      </c>
      <c r="F248" s="4" t="n">
        <v>5641</v>
      </c>
      <c r="G248" s="4" t="n">
        <v>0.059</v>
      </c>
      <c r="H248" s="4" t="n">
        <v>13</v>
      </c>
      <c r="I248" s="4" t="n">
        <v>87.9</v>
      </c>
      <c r="J248" s="4" t="n">
        <v>0.84</v>
      </c>
      <c r="K248" s="4" t="n">
        <v>0</v>
      </c>
      <c r="L248" s="4" t="n">
        <v>3.6</v>
      </c>
      <c r="M248" s="4" t="n">
        <v>720079.54</v>
      </c>
      <c r="N248" s="4" t="n">
        <v>119499.47</v>
      </c>
    </row>
    <row r="249" customFormat="false" ht="15" hidden="false" customHeight="true" outlineLevel="0" collapsed="false">
      <c r="A249" s="4" t="s">
        <v>86</v>
      </c>
      <c r="B249" s="5" t="n">
        <v>45748</v>
      </c>
      <c r="C249" s="4" t="s">
        <v>25</v>
      </c>
      <c r="D249" s="4" t="s">
        <v>22</v>
      </c>
      <c r="E249" s="4" t="n">
        <v>36290.08</v>
      </c>
      <c r="F249" s="4" t="n">
        <v>5787</v>
      </c>
      <c r="G249" s="4" t="n">
        <v>0</v>
      </c>
      <c r="H249" s="4" t="n">
        <v>17</v>
      </c>
      <c r="I249" s="4" t="n">
        <v>88.3</v>
      </c>
      <c r="J249" s="4" t="n">
        <v>4.19</v>
      </c>
      <c r="K249" s="4" t="n">
        <v>0</v>
      </c>
      <c r="L249" s="4" t="n">
        <v>4.1</v>
      </c>
      <c r="M249" s="4" t="n">
        <v>612390.14</v>
      </c>
      <c r="N249" s="4" t="n">
        <v>108985.74</v>
      </c>
    </row>
    <row r="250" customFormat="false" ht="15" hidden="false" customHeight="true" outlineLevel="0" collapsed="false">
      <c r="A250" s="4" t="s">
        <v>87</v>
      </c>
      <c r="B250" s="5" t="n">
        <v>45658</v>
      </c>
      <c r="C250" s="4" t="s">
        <v>25</v>
      </c>
      <c r="D250" s="4" t="s">
        <v>29</v>
      </c>
      <c r="E250" s="4" t="n">
        <v>65272.58</v>
      </c>
      <c r="F250" s="4" t="n">
        <v>8165</v>
      </c>
      <c r="G250" s="4" t="n">
        <v>0.051</v>
      </c>
      <c r="H250" s="4" t="n">
        <v>19</v>
      </c>
      <c r="I250" s="4" t="n">
        <v>87.8</v>
      </c>
      <c r="J250" s="4" t="n">
        <v>1.26</v>
      </c>
      <c r="K250" s="4" t="n">
        <v>1</v>
      </c>
      <c r="L250" s="4" t="n">
        <v>4.3</v>
      </c>
      <c r="M250" s="4" t="n">
        <v>840108.12</v>
      </c>
      <c r="N250" s="4" t="n">
        <v>126587.01</v>
      </c>
    </row>
    <row r="251" customFormat="false" ht="15" hidden="false" customHeight="true" outlineLevel="0" collapsed="false">
      <c r="A251" s="4" t="s">
        <v>87</v>
      </c>
      <c r="B251" s="5" t="n">
        <v>45689</v>
      </c>
      <c r="C251" s="4" t="s">
        <v>25</v>
      </c>
      <c r="D251" s="4" t="s">
        <v>29</v>
      </c>
      <c r="E251" s="4" t="n">
        <v>28670.43</v>
      </c>
      <c r="F251" s="4" t="n">
        <v>7574</v>
      </c>
      <c r="G251" s="4" t="n">
        <v>0.114</v>
      </c>
      <c r="H251" s="4" t="n">
        <v>19</v>
      </c>
      <c r="I251" s="4" t="n">
        <v>82.7</v>
      </c>
      <c r="J251" s="4" t="n">
        <v>2.74</v>
      </c>
      <c r="K251" s="4" t="n">
        <v>0</v>
      </c>
      <c r="L251" s="4" t="n">
        <v>4.6</v>
      </c>
      <c r="M251" s="4" t="n">
        <v>697888.09</v>
      </c>
      <c r="N251" s="4" t="n">
        <v>116249.87</v>
      </c>
    </row>
    <row r="252" customFormat="false" ht="15" hidden="false" customHeight="true" outlineLevel="0" collapsed="false">
      <c r="A252" s="4" t="s">
        <v>87</v>
      </c>
      <c r="B252" s="5" t="n">
        <v>45717</v>
      </c>
      <c r="C252" s="4" t="s">
        <v>25</v>
      </c>
      <c r="D252" s="4" t="s">
        <v>29</v>
      </c>
      <c r="E252" s="4" t="n">
        <v>44189.34</v>
      </c>
      <c r="F252" s="4" t="n">
        <v>8634</v>
      </c>
      <c r="G252" s="4" t="n">
        <v>0.143</v>
      </c>
      <c r="H252" s="4" t="n">
        <v>19</v>
      </c>
      <c r="I252" s="4" t="n">
        <v>87.5</v>
      </c>
      <c r="J252" s="4" t="n">
        <v>3.69</v>
      </c>
      <c r="K252" s="4" t="n">
        <v>0</v>
      </c>
      <c r="L252" s="4" t="n">
        <v>4.4</v>
      </c>
      <c r="M252" s="4" t="n">
        <v>746115.59</v>
      </c>
      <c r="N252" s="4" t="n">
        <v>94662.96</v>
      </c>
    </row>
    <row r="253" customFormat="false" ht="15" hidden="false" customHeight="true" outlineLevel="0" collapsed="false">
      <c r="A253" s="4" t="s">
        <v>87</v>
      </c>
      <c r="B253" s="5" t="n">
        <v>45748</v>
      </c>
      <c r="C253" s="4" t="s">
        <v>25</v>
      </c>
      <c r="D253" s="4" t="s">
        <v>29</v>
      </c>
      <c r="E253" s="4" t="n">
        <v>38397.82</v>
      </c>
      <c r="F253" s="4" t="n">
        <v>7836</v>
      </c>
      <c r="G253" s="4" t="n">
        <v>0.007</v>
      </c>
      <c r="H253" s="4" t="n">
        <v>21</v>
      </c>
      <c r="I253" s="4" t="n">
        <v>92.2</v>
      </c>
      <c r="J253" s="4" t="n">
        <v>1.82</v>
      </c>
      <c r="K253" s="4" t="n">
        <v>0</v>
      </c>
      <c r="L253" s="4" t="n">
        <v>3.6</v>
      </c>
      <c r="M253" s="4" t="n">
        <v>776110.32</v>
      </c>
      <c r="N253" s="4" t="n">
        <v>139676.21</v>
      </c>
    </row>
    <row r="254" customFormat="false" ht="15" hidden="false" customHeight="true" outlineLevel="0" collapsed="false">
      <c r="A254" s="4" t="s">
        <v>88</v>
      </c>
      <c r="B254" s="5" t="n">
        <v>45658</v>
      </c>
      <c r="C254" s="4" t="s">
        <v>28</v>
      </c>
      <c r="D254" s="4" t="s">
        <v>19</v>
      </c>
      <c r="E254" s="4" t="n">
        <v>14519.37</v>
      </c>
      <c r="F254" s="4" t="n">
        <v>3047</v>
      </c>
      <c r="G254" s="4" t="n">
        <v>0.135</v>
      </c>
      <c r="H254" s="4" t="n">
        <v>10</v>
      </c>
      <c r="I254" s="4" t="n">
        <v>90.3</v>
      </c>
      <c r="J254" s="4" t="n">
        <v>6.62</v>
      </c>
      <c r="K254" s="4" t="n">
        <v>0</v>
      </c>
      <c r="L254" s="4" t="n">
        <v>4.2</v>
      </c>
      <c r="M254" s="4" t="n">
        <v>528852.62</v>
      </c>
      <c r="N254" s="4" t="n">
        <v>68426.21</v>
      </c>
    </row>
    <row r="255" customFormat="false" ht="15" hidden="false" customHeight="true" outlineLevel="0" collapsed="false">
      <c r="A255" s="4" t="s">
        <v>88</v>
      </c>
      <c r="B255" s="5" t="n">
        <v>45717</v>
      </c>
      <c r="C255" s="4" t="s">
        <v>28</v>
      </c>
      <c r="D255" s="4" t="s">
        <v>19</v>
      </c>
      <c r="E255" s="4" t="n">
        <v>51450.55</v>
      </c>
      <c r="F255" s="4" t="n">
        <v>4902</v>
      </c>
      <c r="G255" s="4" t="n">
        <v>0.086</v>
      </c>
      <c r="H255" s="4" t="n">
        <v>11</v>
      </c>
      <c r="I255" s="4" t="n">
        <v>83.7</v>
      </c>
      <c r="J255" s="4" t="n">
        <v>6.92</v>
      </c>
      <c r="K255" s="4" t="n">
        <v>1</v>
      </c>
      <c r="L255" s="4" t="n">
        <v>4.2</v>
      </c>
      <c r="M255" s="4" t="n">
        <v>677640.65</v>
      </c>
      <c r="N255" s="4" t="n">
        <v>111610.89</v>
      </c>
    </row>
    <row r="256" customFormat="false" ht="15" hidden="false" customHeight="true" outlineLevel="0" collapsed="false">
      <c r="A256" s="4" t="s">
        <v>88</v>
      </c>
      <c r="B256" s="5" t="n">
        <v>45748</v>
      </c>
      <c r="C256" s="4" t="s">
        <v>28</v>
      </c>
      <c r="D256" s="4" t="s">
        <v>19</v>
      </c>
      <c r="E256" s="4" t="n">
        <v>58688.26</v>
      </c>
      <c r="F256" s="4" t="n">
        <v>4022</v>
      </c>
      <c r="G256" s="4" t="n">
        <v>0.217</v>
      </c>
      <c r="H256" s="4" t="n">
        <v>12</v>
      </c>
      <c r="I256" s="4" t="n">
        <v>93.8</v>
      </c>
      <c r="J256" s="4" t="n">
        <v>11.78</v>
      </c>
      <c r="K256" s="4" t="n">
        <v>0</v>
      </c>
      <c r="L256" s="4" t="n">
        <v>3.7</v>
      </c>
      <c r="M256" s="4" t="n">
        <v>636613.23</v>
      </c>
      <c r="N256" s="4" t="n">
        <v>78908.35</v>
      </c>
    </row>
    <row r="257" customFormat="false" ht="15" hidden="false" customHeight="true" outlineLevel="0" collapsed="false">
      <c r="A257" s="4" t="s">
        <v>89</v>
      </c>
      <c r="B257" s="5" t="n">
        <v>45658</v>
      </c>
      <c r="C257" s="4" t="s">
        <v>16</v>
      </c>
      <c r="D257" s="4" t="s">
        <v>19</v>
      </c>
      <c r="E257" s="4" t="n">
        <v>58981.91</v>
      </c>
      <c r="F257" s="4" t="n">
        <v>7324</v>
      </c>
      <c r="G257" s="4" t="n">
        <v>0.094</v>
      </c>
      <c r="H257" s="4" t="n">
        <v>15</v>
      </c>
      <c r="I257" s="4" t="n">
        <v>95.8</v>
      </c>
      <c r="J257" s="4" t="n">
        <v>0.5</v>
      </c>
      <c r="K257" s="4" t="n">
        <v>0</v>
      </c>
      <c r="L257" s="4" t="n">
        <v>3.5</v>
      </c>
      <c r="M257" s="4" t="n">
        <v>708985.19</v>
      </c>
      <c r="N257" s="4" t="n">
        <v>125368.16</v>
      </c>
    </row>
    <row r="258" customFormat="false" ht="15" hidden="false" customHeight="true" outlineLevel="0" collapsed="false">
      <c r="A258" s="4" t="s">
        <v>89</v>
      </c>
      <c r="B258" s="5" t="n">
        <v>45689</v>
      </c>
      <c r="C258" s="4" t="s">
        <v>16</v>
      </c>
      <c r="D258" s="4" t="s">
        <v>19</v>
      </c>
      <c r="E258" s="4" t="n">
        <v>73454.54</v>
      </c>
      <c r="F258" s="4" t="n">
        <v>8129</v>
      </c>
      <c r="G258" s="4" t="n">
        <v>0.211</v>
      </c>
      <c r="H258" s="4" t="n">
        <v>20</v>
      </c>
      <c r="I258" s="4" t="n">
        <v>85.2</v>
      </c>
      <c r="J258" s="4" t="n">
        <v>0.88</v>
      </c>
      <c r="K258" s="4" t="n">
        <v>0</v>
      </c>
      <c r="L258" s="4" t="n">
        <v>3.7</v>
      </c>
      <c r="M258" s="4" t="n">
        <v>767792.94</v>
      </c>
      <c r="N258" s="4" t="n">
        <v>96235.77</v>
      </c>
    </row>
    <row r="259" customFormat="false" ht="15" hidden="false" customHeight="true" outlineLevel="0" collapsed="false">
      <c r="A259" s="4" t="s">
        <v>89</v>
      </c>
      <c r="B259" s="5" t="n">
        <v>45717</v>
      </c>
      <c r="C259" s="4" t="s">
        <v>16</v>
      </c>
      <c r="D259" s="4" t="s">
        <v>19</v>
      </c>
      <c r="E259" s="4" t="n">
        <v>56602.39</v>
      </c>
      <c r="F259" s="4" t="n">
        <v>7969</v>
      </c>
      <c r="G259" s="4" t="n">
        <v>0.17</v>
      </c>
      <c r="H259" s="4" t="n">
        <v>21</v>
      </c>
      <c r="I259" s="4" t="n">
        <v>88.3</v>
      </c>
      <c r="J259" s="4" t="n">
        <v>2.25</v>
      </c>
      <c r="K259" s="4" t="n">
        <v>0</v>
      </c>
      <c r="L259" s="4" t="n">
        <v>3.7</v>
      </c>
      <c r="M259" s="4" t="n">
        <v>745580.51</v>
      </c>
      <c r="N259" s="4" t="n">
        <v>116273.68</v>
      </c>
    </row>
    <row r="260" customFormat="false" ht="15" hidden="false" customHeight="true" outlineLevel="0" collapsed="false">
      <c r="A260" s="4" t="s">
        <v>89</v>
      </c>
      <c r="B260" s="5" t="n">
        <v>45748</v>
      </c>
      <c r="C260" s="4" t="s">
        <v>16</v>
      </c>
      <c r="D260" s="4" t="s">
        <v>19</v>
      </c>
      <c r="E260" s="4" t="n">
        <v>67722.29</v>
      </c>
      <c r="F260" s="4" t="n">
        <v>7240</v>
      </c>
      <c r="G260" s="4" t="n">
        <v>0.026</v>
      </c>
      <c r="H260" s="4" t="n">
        <v>15</v>
      </c>
      <c r="I260" s="4" t="n">
        <v>92.9</v>
      </c>
      <c r="J260" s="4" t="n">
        <v>0.29</v>
      </c>
      <c r="K260" s="4" t="n">
        <v>0</v>
      </c>
      <c r="L260" s="4" t="n">
        <v>3.5</v>
      </c>
      <c r="M260" s="4" t="n">
        <v>762328.31</v>
      </c>
      <c r="N260" s="4" t="n">
        <v>159158.19</v>
      </c>
    </row>
    <row r="261" customFormat="false" ht="15" hidden="false" customHeight="true" outlineLevel="0" collapsed="false">
      <c r="A261" s="4" t="s">
        <v>90</v>
      </c>
      <c r="B261" s="5" t="n">
        <v>45658</v>
      </c>
      <c r="C261" s="4" t="s">
        <v>16</v>
      </c>
      <c r="D261" s="4" t="s">
        <v>29</v>
      </c>
      <c r="E261" s="4" t="n">
        <v>48752.92</v>
      </c>
      <c r="F261" s="4" t="n">
        <v>8052</v>
      </c>
      <c r="G261" s="4" t="n">
        <v>0.106</v>
      </c>
      <c r="H261" s="4" t="n">
        <v>16</v>
      </c>
      <c r="I261" s="4" t="n">
        <v>94.9</v>
      </c>
      <c r="J261" s="4" t="n">
        <v>0.65</v>
      </c>
      <c r="K261" s="4" t="n">
        <v>0</v>
      </c>
      <c r="L261" s="4" t="n">
        <v>3.6</v>
      </c>
      <c r="M261" s="4" t="n">
        <v>660633.99</v>
      </c>
      <c r="N261" s="4" t="n">
        <v>118768.66</v>
      </c>
    </row>
    <row r="262" customFormat="false" ht="15" hidden="false" customHeight="true" outlineLevel="0" collapsed="false">
      <c r="A262" s="4" t="s">
        <v>90</v>
      </c>
      <c r="B262" s="5" t="n">
        <v>45689</v>
      </c>
      <c r="C262" s="4" t="s">
        <v>16</v>
      </c>
      <c r="D262" s="4" t="s">
        <v>29</v>
      </c>
      <c r="E262" s="4" t="n">
        <v>23914.97</v>
      </c>
      <c r="F262" s="4" t="n">
        <v>8018</v>
      </c>
      <c r="G262" s="4" t="n">
        <v>0.139</v>
      </c>
      <c r="H262" s="4" t="n">
        <v>20</v>
      </c>
      <c r="I262" s="4" t="n">
        <v>89</v>
      </c>
      <c r="J262" s="4" t="n">
        <v>0.2</v>
      </c>
      <c r="K262" s="4" t="n">
        <v>0</v>
      </c>
      <c r="L262" s="4" t="n">
        <v>3.5</v>
      </c>
      <c r="M262" s="4" t="n">
        <v>739374.56</v>
      </c>
      <c r="N262" s="4" t="n">
        <v>121032.29</v>
      </c>
    </row>
    <row r="263" customFormat="false" ht="15" hidden="false" customHeight="true" outlineLevel="0" collapsed="false">
      <c r="A263" s="4" t="s">
        <v>90</v>
      </c>
      <c r="B263" s="5" t="n">
        <v>45717</v>
      </c>
      <c r="C263" s="4" t="s">
        <v>16</v>
      </c>
      <c r="D263" s="4" t="s">
        <v>29</v>
      </c>
      <c r="E263" s="4" t="n">
        <v>61995.3</v>
      </c>
      <c r="F263" s="4" t="n">
        <v>10192</v>
      </c>
      <c r="G263" s="4" t="n">
        <v>0.198</v>
      </c>
      <c r="H263" s="4" t="n">
        <v>21</v>
      </c>
      <c r="I263" s="4" t="n">
        <v>87.6</v>
      </c>
      <c r="J263" s="4" t="n">
        <v>3.63</v>
      </c>
      <c r="K263" s="4" t="n">
        <v>1</v>
      </c>
      <c r="L263" s="4" t="n">
        <v>3.8</v>
      </c>
      <c r="M263" s="4" t="n">
        <v>799756.46</v>
      </c>
      <c r="N263" s="4" t="n">
        <v>105052.93</v>
      </c>
    </row>
    <row r="264" customFormat="false" ht="15" hidden="false" customHeight="true" outlineLevel="0" collapsed="false">
      <c r="A264" s="4" t="s">
        <v>90</v>
      </c>
      <c r="B264" s="5" t="n">
        <v>45748</v>
      </c>
      <c r="C264" s="4" t="s">
        <v>16</v>
      </c>
      <c r="D264" s="4" t="s">
        <v>29</v>
      </c>
      <c r="E264" s="4" t="n">
        <v>29344.93</v>
      </c>
      <c r="F264" s="4" t="n">
        <v>7446</v>
      </c>
      <c r="G264" s="4" t="n">
        <v>0.111</v>
      </c>
      <c r="H264" s="4" t="n">
        <v>15</v>
      </c>
      <c r="I264" s="4" t="n">
        <v>86.2</v>
      </c>
      <c r="J264" s="4" t="n">
        <v>0.2</v>
      </c>
      <c r="K264" s="4" t="n">
        <v>0</v>
      </c>
      <c r="L264" s="4" t="n">
        <v>3.2</v>
      </c>
      <c r="M264" s="4" t="n">
        <v>593343</v>
      </c>
      <c r="N264" s="4" t="n">
        <v>82832.24</v>
      </c>
    </row>
    <row r="265" customFormat="false" ht="15" hidden="false" customHeight="true" outlineLevel="0" collapsed="false">
      <c r="A265" s="4" t="s">
        <v>91</v>
      </c>
      <c r="B265" s="5" t="n">
        <v>45658</v>
      </c>
      <c r="C265" s="4" t="s">
        <v>28</v>
      </c>
      <c r="D265" s="4" t="s">
        <v>19</v>
      </c>
      <c r="E265" s="4" t="n">
        <v>50532.17</v>
      </c>
      <c r="F265" s="4" t="n">
        <v>5689</v>
      </c>
      <c r="G265" s="4" t="n">
        <v>0.052</v>
      </c>
      <c r="H265" s="4" t="n">
        <v>17</v>
      </c>
      <c r="I265" s="4" t="n">
        <v>85.6</v>
      </c>
      <c r="J265" s="4" t="n">
        <v>6.23</v>
      </c>
      <c r="K265" s="4" t="n">
        <v>0</v>
      </c>
      <c r="L265" s="4" t="n">
        <v>3.3</v>
      </c>
      <c r="M265" s="4" t="n">
        <v>645039.97</v>
      </c>
      <c r="N265" s="4" t="n">
        <v>83093.33</v>
      </c>
    </row>
    <row r="266" customFormat="false" ht="15" hidden="false" customHeight="true" outlineLevel="0" collapsed="false">
      <c r="A266" s="4" t="s">
        <v>91</v>
      </c>
      <c r="B266" s="5" t="n">
        <v>45689</v>
      </c>
      <c r="C266" s="4" t="s">
        <v>28</v>
      </c>
      <c r="D266" s="4" t="s">
        <v>19</v>
      </c>
      <c r="E266" s="4" t="n">
        <v>17562.57</v>
      </c>
      <c r="F266" s="4" t="n">
        <v>3326</v>
      </c>
      <c r="G266" s="4" t="n">
        <v>0.153</v>
      </c>
      <c r="H266" s="4" t="n">
        <v>14</v>
      </c>
      <c r="I266" s="4" t="n">
        <v>88.1</v>
      </c>
      <c r="J266" s="4" t="n">
        <v>1.04</v>
      </c>
      <c r="K266" s="4" t="n">
        <v>0</v>
      </c>
      <c r="L266" s="4" t="n">
        <v>3.1</v>
      </c>
      <c r="M266" s="4" t="n">
        <v>561597.33</v>
      </c>
      <c r="N266" s="4" t="n">
        <v>75072.75</v>
      </c>
    </row>
    <row r="267" customFormat="false" ht="15" hidden="false" customHeight="true" outlineLevel="0" collapsed="false">
      <c r="A267" s="4" t="s">
        <v>91</v>
      </c>
      <c r="B267" s="5" t="n">
        <v>45717</v>
      </c>
      <c r="C267" s="4" t="s">
        <v>28</v>
      </c>
      <c r="D267" s="4" t="s">
        <v>19</v>
      </c>
      <c r="E267" s="4" t="n">
        <v>47648.71</v>
      </c>
      <c r="F267" s="4" t="n">
        <v>5767</v>
      </c>
      <c r="G267" s="4" t="n">
        <v>0.141</v>
      </c>
      <c r="H267" s="4" t="n">
        <v>17</v>
      </c>
      <c r="I267" s="4" t="n">
        <v>89.8</v>
      </c>
      <c r="J267" s="4" t="n">
        <v>1.76</v>
      </c>
      <c r="K267" s="4" t="n">
        <v>0</v>
      </c>
      <c r="L267" s="4" t="n">
        <v>3.1</v>
      </c>
      <c r="M267" s="4" t="n">
        <v>635837.74</v>
      </c>
      <c r="N267" s="4" t="n">
        <v>114740.64</v>
      </c>
    </row>
    <row r="268" customFormat="false" ht="15" hidden="false" customHeight="true" outlineLevel="0" collapsed="false">
      <c r="A268" s="4" t="s">
        <v>91</v>
      </c>
      <c r="B268" s="5" t="n">
        <v>45748</v>
      </c>
      <c r="C268" s="4" t="s">
        <v>28</v>
      </c>
      <c r="D268" s="4" t="s">
        <v>19</v>
      </c>
      <c r="E268" s="4" t="n">
        <v>38297.58</v>
      </c>
      <c r="F268" s="4" t="n">
        <v>5893</v>
      </c>
      <c r="G268" s="4" t="n">
        <v>0.247</v>
      </c>
      <c r="H268" s="4" t="n">
        <v>18</v>
      </c>
      <c r="I268" s="4" t="n">
        <v>77.6</v>
      </c>
      <c r="J268" s="4" t="n">
        <v>2.86</v>
      </c>
      <c r="K268" s="4" t="n">
        <v>0</v>
      </c>
      <c r="L268" s="4" t="n">
        <v>3</v>
      </c>
      <c r="M268" s="4" t="n">
        <v>686737.87</v>
      </c>
      <c r="N268" s="4" t="n">
        <v>83839.67</v>
      </c>
    </row>
    <row r="269" customFormat="false" ht="15" hidden="false" customHeight="true" outlineLevel="0" collapsed="false">
      <c r="A269" s="4" t="s">
        <v>92</v>
      </c>
      <c r="B269" s="5" t="n">
        <v>45658</v>
      </c>
      <c r="C269" s="4" t="s">
        <v>25</v>
      </c>
      <c r="D269" s="4" t="s">
        <v>17</v>
      </c>
      <c r="E269" s="4" t="n">
        <v>61784.11</v>
      </c>
      <c r="F269" s="4" t="n">
        <v>8564</v>
      </c>
      <c r="G269" s="4" t="n">
        <v>0.13</v>
      </c>
      <c r="H269" s="4" t="n">
        <v>17</v>
      </c>
      <c r="I269" s="4" t="n">
        <v>87.4</v>
      </c>
      <c r="J269" s="4" t="n">
        <v>18.14</v>
      </c>
      <c r="K269" s="4" t="n">
        <v>1</v>
      </c>
      <c r="L269" s="4" t="n">
        <v>3.4</v>
      </c>
      <c r="M269" s="4" t="n">
        <v>673076.34</v>
      </c>
      <c r="N269" s="4" t="n">
        <v>93899.76</v>
      </c>
    </row>
    <row r="270" customFormat="false" ht="15" hidden="false" customHeight="true" outlineLevel="0" collapsed="false">
      <c r="A270" s="4" t="s">
        <v>92</v>
      </c>
      <c r="B270" s="5" t="n">
        <v>45689</v>
      </c>
      <c r="C270" s="4" t="s">
        <v>25</v>
      </c>
      <c r="D270" s="4" t="s">
        <v>17</v>
      </c>
      <c r="E270" s="4" t="n">
        <v>36832.33</v>
      </c>
      <c r="F270" s="4" t="n">
        <v>8001</v>
      </c>
      <c r="G270" s="4" t="n">
        <v>0</v>
      </c>
      <c r="H270" s="4" t="n">
        <v>19</v>
      </c>
      <c r="I270" s="4" t="n">
        <v>88.7</v>
      </c>
      <c r="J270" s="4" t="n">
        <v>3.39</v>
      </c>
      <c r="K270" s="4" t="n">
        <v>0</v>
      </c>
      <c r="L270" s="4" t="n">
        <v>4</v>
      </c>
      <c r="M270" s="4" t="n">
        <v>738548.42</v>
      </c>
      <c r="N270" s="4" t="n">
        <v>134282.77</v>
      </c>
    </row>
    <row r="271" customFormat="false" ht="15" hidden="false" customHeight="true" outlineLevel="0" collapsed="false">
      <c r="A271" s="4" t="s">
        <v>92</v>
      </c>
      <c r="B271" s="5" t="n">
        <v>45717</v>
      </c>
      <c r="C271" s="4" t="s">
        <v>25</v>
      </c>
      <c r="D271" s="4" t="s">
        <v>17</v>
      </c>
      <c r="E271" s="4" t="n">
        <v>48609.41</v>
      </c>
      <c r="F271" s="4" t="n">
        <v>9324</v>
      </c>
      <c r="G271" s="4" t="n">
        <v>0.213</v>
      </c>
      <c r="H271" s="4" t="n">
        <v>18</v>
      </c>
      <c r="I271" s="4" t="n">
        <v>86.5</v>
      </c>
      <c r="J271" s="4" t="n">
        <v>1.44</v>
      </c>
      <c r="K271" s="4" t="n">
        <v>0</v>
      </c>
      <c r="L271" s="4" t="n">
        <v>3.9</v>
      </c>
      <c r="M271" s="4" t="n">
        <v>756619.77</v>
      </c>
      <c r="N271" s="4" t="n">
        <v>112057.69</v>
      </c>
    </row>
    <row r="272" customFormat="false" ht="15" hidden="false" customHeight="true" outlineLevel="0" collapsed="false">
      <c r="A272" s="4" t="s">
        <v>92</v>
      </c>
      <c r="B272" s="5" t="n">
        <v>45748</v>
      </c>
      <c r="C272" s="4" t="s">
        <v>25</v>
      </c>
      <c r="D272" s="4" t="s">
        <v>17</v>
      </c>
      <c r="E272" s="4" t="n">
        <v>70284.06</v>
      </c>
      <c r="F272" s="4" t="n">
        <v>9109</v>
      </c>
      <c r="G272" s="4" t="n">
        <v>0.004</v>
      </c>
      <c r="H272" s="4" t="n">
        <v>23</v>
      </c>
      <c r="I272" s="4" t="n">
        <v>87</v>
      </c>
      <c r="J272" s="4" t="n">
        <v>3.65</v>
      </c>
      <c r="K272" s="4" t="n">
        <v>0</v>
      </c>
      <c r="L272" s="4" t="n">
        <v>3.7</v>
      </c>
      <c r="M272" s="4" t="n">
        <v>761122.42</v>
      </c>
      <c r="N272" s="4" t="n">
        <v>149802.04</v>
      </c>
    </row>
    <row r="273" customFormat="false" ht="15" hidden="false" customHeight="true" outlineLevel="0" collapsed="false">
      <c r="A273" s="4" t="s">
        <v>93</v>
      </c>
      <c r="B273" s="5" t="n">
        <v>45658</v>
      </c>
      <c r="C273" s="4" t="s">
        <v>25</v>
      </c>
      <c r="D273" s="4" t="s">
        <v>19</v>
      </c>
      <c r="E273" s="4" t="n">
        <v>45940.39</v>
      </c>
      <c r="F273" s="4" t="n">
        <v>4022</v>
      </c>
      <c r="G273" s="4" t="n">
        <v>0.069</v>
      </c>
      <c r="H273" s="4" t="n">
        <v>10</v>
      </c>
      <c r="I273" s="4" t="n">
        <v>83</v>
      </c>
      <c r="J273" s="4" t="n">
        <v>1.23</v>
      </c>
      <c r="K273" s="4" t="n">
        <v>1</v>
      </c>
      <c r="L273" s="4" t="n">
        <v>3.8</v>
      </c>
      <c r="M273" s="4" t="n">
        <v>524899.57</v>
      </c>
      <c r="N273" s="4" t="n">
        <v>63619.98</v>
      </c>
    </row>
    <row r="274" customFormat="false" ht="15" hidden="false" customHeight="true" outlineLevel="0" collapsed="false">
      <c r="A274" s="4" t="s">
        <v>93</v>
      </c>
      <c r="B274" s="5" t="n">
        <v>45689</v>
      </c>
      <c r="C274" s="4" t="s">
        <v>25</v>
      </c>
      <c r="D274" s="4" t="s">
        <v>19</v>
      </c>
      <c r="E274" s="4" t="n">
        <v>34771.26</v>
      </c>
      <c r="F274" s="4" t="n">
        <v>4355</v>
      </c>
      <c r="G274" s="4" t="n">
        <v>0.051</v>
      </c>
      <c r="H274" s="4" t="n">
        <v>15</v>
      </c>
      <c r="I274" s="4" t="n">
        <v>87.9</v>
      </c>
      <c r="J274" s="4" t="n">
        <v>3.09</v>
      </c>
      <c r="K274" s="4" t="n">
        <v>0</v>
      </c>
      <c r="L274" s="4" t="n">
        <v>4</v>
      </c>
      <c r="M274" s="4" t="n">
        <v>555557.77</v>
      </c>
      <c r="N274" s="4" t="n">
        <v>86475.51</v>
      </c>
    </row>
    <row r="275" customFormat="false" ht="15" hidden="false" customHeight="true" outlineLevel="0" collapsed="false">
      <c r="A275" s="4" t="s">
        <v>93</v>
      </c>
      <c r="B275" s="5" t="n">
        <v>45717</v>
      </c>
      <c r="C275" s="4" t="s">
        <v>25</v>
      </c>
      <c r="D275" s="4" t="s">
        <v>19</v>
      </c>
      <c r="E275" s="4" t="n">
        <v>66104.19</v>
      </c>
      <c r="F275" s="4" t="n">
        <v>5745</v>
      </c>
      <c r="G275" s="4" t="n">
        <v>0.07</v>
      </c>
      <c r="H275" s="4" t="n">
        <v>17</v>
      </c>
      <c r="I275" s="4" t="n">
        <v>95.8</v>
      </c>
      <c r="J275" s="4" t="n">
        <v>3.15</v>
      </c>
      <c r="K275" s="4" t="n">
        <v>0</v>
      </c>
      <c r="L275" s="4" t="n">
        <v>4</v>
      </c>
      <c r="M275" s="4" t="n">
        <v>714083.68</v>
      </c>
      <c r="N275" s="4" t="n">
        <v>127231.74</v>
      </c>
    </row>
    <row r="276" customFormat="false" ht="15" hidden="false" customHeight="true" outlineLevel="0" collapsed="false">
      <c r="A276" s="4" t="s">
        <v>93</v>
      </c>
      <c r="B276" s="5" t="n">
        <v>45748</v>
      </c>
      <c r="C276" s="4" t="s">
        <v>25</v>
      </c>
      <c r="D276" s="4" t="s">
        <v>19</v>
      </c>
      <c r="E276" s="4" t="n">
        <v>18599.21</v>
      </c>
      <c r="F276" s="4" t="n">
        <v>3027</v>
      </c>
      <c r="G276" s="4" t="n">
        <v>0.122</v>
      </c>
      <c r="H276" s="4" t="n">
        <v>11</v>
      </c>
      <c r="I276" s="4" t="n">
        <v>80.9</v>
      </c>
      <c r="J276" s="4" t="n">
        <v>6.44</v>
      </c>
      <c r="K276" s="4" t="n">
        <v>0</v>
      </c>
      <c r="L276" s="4" t="n">
        <v>4.2</v>
      </c>
      <c r="M276" s="4" t="n">
        <v>497439.82</v>
      </c>
      <c r="N276" s="4" t="n">
        <v>93372.75</v>
      </c>
    </row>
    <row r="277" customFormat="false" ht="15" hidden="false" customHeight="true" outlineLevel="0" collapsed="false">
      <c r="A277" s="4" t="s">
        <v>94</v>
      </c>
      <c r="B277" s="5" t="n">
        <v>45658</v>
      </c>
      <c r="C277" s="4" t="s">
        <v>28</v>
      </c>
      <c r="D277" s="4" t="s">
        <v>17</v>
      </c>
      <c r="E277" s="4" t="n">
        <v>60183.06</v>
      </c>
      <c r="F277" s="4" t="n">
        <v>5562</v>
      </c>
      <c r="G277" s="4" t="n">
        <v>0.009</v>
      </c>
      <c r="H277" s="4" t="n">
        <v>13</v>
      </c>
      <c r="I277" s="4" t="n">
        <v>86.3</v>
      </c>
      <c r="J277" s="4" t="n">
        <v>0.2</v>
      </c>
      <c r="K277" s="4" t="n">
        <v>1</v>
      </c>
      <c r="L277" s="4" t="n">
        <v>4.5</v>
      </c>
      <c r="M277" s="4" t="n">
        <v>636775.66</v>
      </c>
      <c r="N277" s="4" t="n">
        <v>122636.86</v>
      </c>
    </row>
    <row r="278" customFormat="false" ht="15" hidden="false" customHeight="true" outlineLevel="0" collapsed="false">
      <c r="A278" s="4" t="s">
        <v>94</v>
      </c>
      <c r="B278" s="5" t="n">
        <v>45689</v>
      </c>
      <c r="C278" s="4" t="s">
        <v>28</v>
      </c>
      <c r="D278" s="4" t="s">
        <v>17</v>
      </c>
      <c r="E278" s="4" t="n">
        <v>74539.14</v>
      </c>
      <c r="F278" s="4" t="n">
        <v>4487</v>
      </c>
      <c r="G278" s="4" t="n">
        <v>0.14</v>
      </c>
      <c r="H278" s="4" t="n">
        <v>10</v>
      </c>
      <c r="I278" s="4" t="n">
        <v>90.4</v>
      </c>
      <c r="J278" s="4" t="n">
        <v>0.59</v>
      </c>
      <c r="K278" s="4" t="n">
        <v>0</v>
      </c>
      <c r="L278" s="4" t="n">
        <v>4.5</v>
      </c>
      <c r="M278" s="4" t="n">
        <v>633009.53</v>
      </c>
      <c r="N278" s="4" t="n">
        <v>123782.67</v>
      </c>
    </row>
    <row r="279" customFormat="false" ht="15" hidden="false" customHeight="true" outlineLevel="0" collapsed="false">
      <c r="A279" s="4" t="s">
        <v>94</v>
      </c>
      <c r="B279" s="5" t="n">
        <v>45717</v>
      </c>
      <c r="C279" s="4" t="s">
        <v>28</v>
      </c>
      <c r="D279" s="4" t="s">
        <v>17</v>
      </c>
      <c r="E279" s="4" t="n">
        <v>55371.97</v>
      </c>
      <c r="F279" s="4" t="n">
        <v>4162</v>
      </c>
      <c r="G279" s="4" t="n">
        <v>0.183</v>
      </c>
      <c r="H279" s="4" t="n">
        <v>11</v>
      </c>
      <c r="I279" s="4" t="n">
        <v>92</v>
      </c>
      <c r="J279" s="4" t="n">
        <v>0.2</v>
      </c>
      <c r="K279" s="4" t="n">
        <v>1</v>
      </c>
      <c r="L279" s="4" t="n">
        <v>4.2</v>
      </c>
      <c r="M279" s="4" t="n">
        <v>609949</v>
      </c>
      <c r="N279" s="4" t="n">
        <v>126789.25</v>
      </c>
    </row>
    <row r="280" customFormat="false" ht="15" hidden="false" customHeight="true" outlineLevel="0" collapsed="false">
      <c r="A280" s="4" t="s">
        <v>94</v>
      </c>
      <c r="B280" s="5" t="n">
        <v>45748</v>
      </c>
      <c r="C280" s="4" t="s">
        <v>28</v>
      </c>
      <c r="D280" s="4" t="s">
        <v>17</v>
      </c>
      <c r="E280" s="4" t="n">
        <v>40928.69</v>
      </c>
      <c r="F280" s="4" t="n">
        <v>4094</v>
      </c>
      <c r="G280" s="4" t="n">
        <v>0.174</v>
      </c>
      <c r="H280" s="4" t="n">
        <v>13</v>
      </c>
      <c r="I280" s="4" t="n">
        <v>82.4</v>
      </c>
      <c r="J280" s="4" t="n">
        <v>1.36</v>
      </c>
      <c r="K280" s="4" t="n">
        <v>0</v>
      </c>
      <c r="L280" s="4" t="n">
        <v>4.8</v>
      </c>
      <c r="M280" s="4" t="n">
        <v>548103.7</v>
      </c>
      <c r="N280" s="4" t="n">
        <v>99905.52</v>
      </c>
    </row>
    <row r="281" customFormat="false" ht="15" hidden="false" customHeight="true" outlineLevel="0" collapsed="false">
      <c r="A281" s="4" t="s">
        <v>95</v>
      </c>
      <c r="B281" s="5" t="n">
        <v>45658</v>
      </c>
      <c r="C281" s="4" t="s">
        <v>16</v>
      </c>
      <c r="D281" s="4" t="s">
        <v>17</v>
      </c>
      <c r="E281" s="4" t="n">
        <v>70012.41</v>
      </c>
      <c r="F281" s="4" t="n">
        <v>8484</v>
      </c>
      <c r="G281" s="4" t="n">
        <v>0.273</v>
      </c>
      <c r="H281" s="4" t="n">
        <v>23</v>
      </c>
      <c r="I281" s="4" t="n">
        <v>72.9</v>
      </c>
      <c r="J281" s="4" t="n">
        <v>3.34</v>
      </c>
      <c r="K281" s="4" t="n">
        <v>0</v>
      </c>
      <c r="L281" s="4" t="n">
        <v>3.7</v>
      </c>
      <c r="M281" s="4" t="n">
        <v>729424.42</v>
      </c>
      <c r="N281" s="4" t="n">
        <v>75592.28</v>
      </c>
    </row>
    <row r="282" customFormat="false" ht="15" hidden="false" customHeight="true" outlineLevel="0" collapsed="false">
      <c r="A282" s="4" t="s">
        <v>95</v>
      </c>
      <c r="B282" s="5" t="n">
        <v>45689</v>
      </c>
      <c r="C282" s="4" t="s">
        <v>16</v>
      </c>
      <c r="D282" s="4" t="s">
        <v>17</v>
      </c>
      <c r="E282" s="4" t="n">
        <v>68909.26</v>
      </c>
      <c r="F282" s="4" t="n">
        <v>7794</v>
      </c>
      <c r="G282" s="4" t="n">
        <v>0.284</v>
      </c>
      <c r="H282" s="4" t="n">
        <v>22</v>
      </c>
      <c r="I282" s="4" t="n">
        <v>89</v>
      </c>
      <c r="J282" s="4" t="n">
        <v>0.33</v>
      </c>
      <c r="K282" s="4" t="n">
        <v>0</v>
      </c>
      <c r="L282" s="4" t="n">
        <v>4</v>
      </c>
      <c r="M282" s="4" t="n">
        <v>696261.49</v>
      </c>
      <c r="N282" s="4" t="n">
        <v>72455.35</v>
      </c>
    </row>
    <row r="283" customFormat="false" ht="15" hidden="false" customHeight="true" outlineLevel="0" collapsed="false">
      <c r="A283" s="4" t="s">
        <v>95</v>
      </c>
      <c r="B283" s="5" t="n">
        <v>45717</v>
      </c>
      <c r="C283" s="4" t="s">
        <v>16</v>
      </c>
      <c r="D283" s="4" t="s">
        <v>17</v>
      </c>
      <c r="E283" s="4" t="n">
        <v>56737.3</v>
      </c>
      <c r="F283" s="4" t="n">
        <v>8300</v>
      </c>
      <c r="G283" s="4" t="n">
        <v>0.032</v>
      </c>
      <c r="H283" s="4" t="n">
        <v>21</v>
      </c>
      <c r="I283" s="4" t="n">
        <v>83.2</v>
      </c>
      <c r="J283" s="4" t="n">
        <v>3.44</v>
      </c>
      <c r="K283" s="4" t="n">
        <v>1</v>
      </c>
      <c r="L283" s="4" t="n">
        <v>4.3</v>
      </c>
      <c r="M283" s="4" t="n">
        <v>813316.71</v>
      </c>
      <c r="N283" s="4" t="n">
        <v>110077.42</v>
      </c>
    </row>
    <row r="284" customFormat="false" ht="15" hidden="false" customHeight="true" outlineLevel="0" collapsed="false">
      <c r="A284" s="4" t="s">
        <v>95</v>
      </c>
      <c r="B284" s="5" t="n">
        <v>45748</v>
      </c>
      <c r="C284" s="4" t="s">
        <v>16</v>
      </c>
      <c r="D284" s="4" t="s">
        <v>17</v>
      </c>
      <c r="E284" s="4" t="n">
        <v>54080.91</v>
      </c>
      <c r="F284" s="4" t="n">
        <v>7083</v>
      </c>
      <c r="G284" s="4" t="n">
        <v>0</v>
      </c>
      <c r="H284" s="4" t="n">
        <v>15</v>
      </c>
      <c r="I284" s="4" t="n">
        <v>97</v>
      </c>
      <c r="J284" s="4" t="n">
        <v>5.33</v>
      </c>
      <c r="K284" s="4" t="n">
        <v>0</v>
      </c>
      <c r="L284" s="4" t="n">
        <v>4.1</v>
      </c>
      <c r="M284" s="4" t="n">
        <v>702068.92</v>
      </c>
      <c r="N284" s="4" t="n">
        <v>111266.63</v>
      </c>
    </row>
    <row r="285" customFormat="false" ht="15" hidden="false" customHeight="true" outlineLevel="0" collapsed="false">
      <c r="A285" s="4" t="s">
        <v>96</v>
      </c>
      <c r="B285" s="5" t="n">
        <v>45658</v>
      </c>
      <c r="C285" s="4" t="s">
        <v>28</v>
      </c>
      <c r="D285" s="4" t="s">
        <v>19</v>
      </c>
      <c r="E285" s="4" t="n">
        <v>51996.32</v>
      </c>
      <c r="F285" s="4" t="n">
        <v>3834</v>
      </c>
      <c r="G285" s="4" t="n">
        <v>0.096</v>
      </c>
      <c r="H285" s="4" t="n">
        <v>8</v>
      </c>
      <c r="I285" s="4" t="n">
        <v>86.7</v>
      </c>
      <c r="J285" s="4" t="n">
        <v>6.04</v>
      </c>
      <c r="K285" s="4" t="n">
        <v>0</v>
      </c>
      <c r="L285" s="4" t="n">
        <v>4.5</v>
      </c>
      <c r="M285" s="4" t="n">
        <v>546223.7</v>
      </c>
      <c r="N285" s="4" t="n">
        <v>100769.17</v>
      </c>
    </row>
    <row r="286" customFormat="false" ht="15" hidden="false" customHeight="true" outlineLevel="0" collapsed="false">
      <c r="A286" s="4" t="s">
        <v>96</v>
      </c>
      <c r="B286" s="5" t="n">
        <v>45689</v>
      </c>
      <c r="C286" s="4" t="s">
        <v>28</v>
      </c>
      <c r="D286" s="4" t="s">
        <v>19</v>
      </c>
      <c r="E286" s="4" t="n">
        <v>40102.88</v>
      </c>
      <c r="F286" s="4" t="n">
        <v>2358</v>
      </c>
      <c r="G286" s="4" t="n">
        <v>0.119</v>
      </c>
      <c r="H286" s="4" t="n">
        <v>9</v>
      </c>
      <c r="I286" s="4" t="n">
        <v>88.7</v>
      </c>
      <c r="J286" s="4" t="n">
        <v>1.6</v>
      </c>
      <c r="K286" s="4" t="n">
        <v>0</v>
      </c>
      <c r="L286" s="4" t="n">
        <v>4.2</v>
      </c>
      <c r="M286" s="4" t="n">
        <v>533121.26</v>
      </c>
      <c r="N286" s="4" t="n">
        <v>55063.39</v>
      </c>
    </row>
    <row r="287" customFormat="false" ht="15" hidden="false" customHeight="true" outlineLevel="0" collapsed="false">
      <c r="A287" s="4" t="s">
        <v>96</v>
      </c>
      <c r="B287" s="5" t="n">
        <v>45717</v>
      </c>
      <c r="C287" s="4" t="s">
        <v>28</v>
      </c>
      <c r="D287" s="4" t="s">
        <v>19</v>
      </c>
      <c r="E287" s="4" t="n">
        <v>59825.51</v>
      </c>
      <c r="F287" s="4" t="n">
        <v>1231</v>
      </c>
      <c r="G287" s="4" t="n">
        <v>0.214</v>
      </c>
      <c r="H287" s="4" t="n">
        <v>10</v>
      </c>
      <c r="I287" s="4" t="n">
        <v>84.8</v>
      </c>
      <c r="J287" s="4" t="n">
        <v>8.96</v>
      </c>
      <c r="K287" s="4" t="n">
        <v>0</v>
      </c>
      <c r="L287" s="4" t="n">
        <v>4.7</v>
      </c>
      <c r="M287" s="4" t="n">
        <v>498970.32</v>
      </c>
      <c r="N287" s="4" t="n">
        <v>69656.7</v>
      </c>
    </row>
    <row r="288" customFormat="false" ht="15" hidden="false" customHeight="true" outlineLevel="0" collapsed="false">
      <c r="A288" s="4" t="s">
        <v>96</v>
      </c>
      <c r="B288" s="5" t="n">
        <v>45748</v>
      </c>
      <c r="C288" s="4" t="s">
        <v>28</v>
      </c>
      <c r="D288" s="4" t="s">
        <v>19</v>
      </c>
      <c r="E288" s="4" t="n">
        <v>27398.28</v>
      </c>
      <c r="F288" s="4" t="n">
        <v>1723</v>
      </c>
      <c r="G288" s="4" t="n">
        <v>0.171</v>
      </c>
      <c r="H288" s="4" t="n">
        <v>9</v>
      </c>
      <c r="I288" s="4" t="n">
        <v>81</v>
      </c>
      <c r="J288" s="4" t="n">
        <v>0.74</v>
      </c>
      <c r="K288" s="4" t="n">
        <v>0</v>
      </c>
      <c r="L288" s="4" t="n">
        <v>4.6</v>
      </c>
      <c r="M288" s="4" t="n">
        <v>487738.26</v>
      </c>
      <c r="N288" s="4" t="n">
        <v>96435.6</v>
      </c>
    </row>
    <row r="289" customFormat="false" ht="15" hidden="false" customHeight="true" outlineLevel="0" collapsed="false">
      <c r="A289" s="4" t="s">
        <v>97</v>
      </c>
      <c r="B289" s="5" t="n">
        <v>45658</v>
      </c>
      <c r="C289" s="4" t="s">
        <v>28</v>
      </c>
      <c r="D289" s="4" t="s">
        <v>19</v>
      </c>
      <c r="E289" s="4" t="n">
        <v>55599.56</v>
      </c>
      <c r="F289" s="4" t="n">
        <v>5896</v>
      </c>
      <c r="G289" s="4" t="n">
        <v>0.036</v>
      </c>
      <c r="H289" s="4" t="n">
        <v>12</v>
      </c>
      <c r="I289" s="4" t="n">
        <v>93.1</v>
      </c>
      <c r="J289" s="4" t="n">
        <v>6.13</v>
      </c>
      <c r="K289" s="4" t="n">
        <v>0</v>
      </c>
      <c r="L289" s="4" t="n">
        <v>3.3</v>
      </c>
      <c r="M289" s="4" t="n">
        <v>668459.37</v>
      </c>
      <c r="N289" s="4" t="n">
        <v>126435.42</v>
      </c>
    </row>
    <row r="290" customFormat="false" ht="15" hidden="false" customHeight="true" outlineLevel="0" collapsed="false">
      <c r="A290" s="4" t="s">
        <v>97</v>
      </c>
      <c r="B290" s="5" t="n">
        <v>45689</v>
      </c>
      <c r="C290" s="4" t="s">
        <v>28</v>
      </c>
      <c r="D290" s="4" t="s">
        <v>19</v>
      </c>
      <c r="E290" s="4" t="n">
        <v>55477.61</v>
      </c>
      <c r="F290" s="4" t="n">
        <v>5903</v>
      </c>
      <c r="G290" s="4" t="n">
        <v>0.102</v>
      </c>
      <c r="H290" s="4" t="n">
        <v>14</v>
      </c>
      <c r="I290" s="4" t="n">
        <v>96.2</v>
      </c>
      <c r="J290" s="4" t="n">
        <v>1.41</v>
      </c>
      <c r="K290" s="4" t="n">
        <v>0</v>
      </c>
      <c r="L290" s="4" t="n">
        <v>3.3</v>
      </c>
      <c r="M290" s="4" t="n">
        <v>763162.45</v>
      </c>
      <c r="N290" s="4" t="n">
        <v>162524.05</v>
      </c>
    </row>
    <row r="291" customFormat="false" ht="15" hidden="false" customHeight="true" outlineLevel="0" collapsed="false">
      <c r="A291" s="4" t="s">
        <v>97</v>
      </c>
      <c r="B291" s="5" t="n">
        <v>45717</v>
      </c>
      <c r="C291" s="4" t="s">
        <v>28</v>
      </c>
      <c r="D291" s="4" t="s">
        <v>19</v>
      </c>
      <c r="E291" s="4" t="n">
        <v>46174.7</v>
      </c>
      <c r="F291" s="4" t="n">
        <v>4898</v>
      </c>
      <c r="G291" s="4" t="n">
        <v>0.114</v>
      </c>
      <c r="H291" s="4" t="n">
        <v>11</v>
      </c>
      <c r="I291" s="4" t="n">
        <v>91.7</v>
      </c>
      <c r="J291" s="4" t="n">
        <v>3.75</v>
      </c>
      <c r="K291" s="4" t="n">
        <v>0</v>
      </c>
      <c r="L291" s="4" t="n">
        <v>3.1</v>
      </c>
      <c r="M291" s="4" t="n">
        <v>599017.33</v>
      </c>
      <c r="N291" s="4" t="n">
        <v>134009.92</v>
      </c>
    </row>
    <row r="292" customFormat="false" ht="15" hidden="false" customHeight="true" outlineLevel="0" collapsed="false">
      <c r="A292" s="4" t="s">
        <v>97</v>
      </c>
      <c r="B292" s="5" t="n">
        <v>45748</v>
      </c>
      <c r="C292" s="4" t="s">
        <v>28</v>
      </c>
      <c r="D292" s="4" t="s">
        <v>19</v>
      </c>
      <c r="E292" s="4" t="n">
        <v>24362.98</v>
      </c>
      <c r="F292" s="4" t="n">
        <v>1462</v>
      </c>
      <c r="G292" s="4" t="n">
        <v>0.117</v>
      </c>
      <c r="H292" s="4" t="n">
        <v>6</v>
      </c>
      <c r="I292" s="4" t="n">
        <v>89.3</v>
      </c>
      <c r="J292" s="4" t="n">
        <v>15.06</v>
      </c>
      <c r="K292" s="4" t="n">
        <v>0</v>
      </c>
      <c r="L292" s="4" t="n">
        <v>3.2</v>
      </c>
      <c r="M292" s="4" t="n">
        <v>401582.58</v>
      </c>
      <c r="N292" s="4" t="n">
        <v>68454.93</v>
      </c>
    </row>
    <row r="293" customFormat="false" ht="15" hidden="false" customHeight="true" outlineLevel="0" collapsed="false">
      <c r="A293" s="4" t="s">
        <v>98</v>
      </c>
      <c r="B293" s="5" t="n">
        <v>45658</v>
      </c>
      <c r="C293" s="4" t="s">
        <v>21</v>
      </c>
      <c r="D293" s="4" t="s">
        <v>29</v>
      </c>
      <c r="E293" s="4" t="n">
        <v>40647.67</v>
      </c>
      <c r="F293" s="4" t="n">
        <v>8252</v>
      </c>
      <c r="G293" s="4" t="n">
        <v>0.141</v>
      </c>
      <c r="H293" s="4" t="n">
        <v>22</v>
      </c>
      <c r="I293" s="4" t="n">
        <v>88.2</v>
      </c>
      <c r="J293" s="4" t="n">
        <v>5.07</v>
      </c>
      <c r="K293" s="4" t="n">
        <v>1</v>
      </c>
      <c r="L293" s="4" t="n">
        <v>4.1</v>
      </c>
      <c r="M293" s="4" t="n">
        <v>703812.99</v>
      </c>
      <c r="N293" s="4" t="n">
        <v>133577.98</v>
      </c>
    </row>
    <row r="294" customFormat="false" ht="15" hidden="false" customHeight="true" outlineLevel="0" collapsed="false">
      <c r="A294" s="4" t="s">
        <v>98</v>
      </c>
      <c r="B294" s="5" t="n">
        <v>45689</v>
      </c>
      <c r="C294" s="4" t="s">
        <v>21</v>
      </c>
      <c r="D294" s="4" t="s">
        <v>29</v>
      </c>
      <c r="E294" s="4" t="n">
        <v>63986.98</v>
      </c>
      <c r="F294" s="4" t="n">
        <v>7989</v>
      </c>
      <c r="G294" s="4" t="n">
        <v>0.074</v>
      </c>
      <c r="H294" s="4" t="n">
        <v>20</v>
      </c>
      <c r="I294" s="4" t="n">
        <v>83.3</v>
      </c>
      <c r="J294" s="4" t="n">
        <v>3.6</v>
      </c>
      <c r="K294" s="4" t="n">
        <v>0</v>
      </c>
      <c r="L294" s="4" t="n">
        <v>3.7</v>
      </c>
      <c r="M294" s="4" t="n">
        <v>724346.73</v>
      </c>
      <c r="N294" s="4" t="n">
        <v>155013.91</v>
      </c>
    </row>
    <row r="295" customFormat="false" ht="15" hidden="false" customHeight="true" outlineLevel="0" collapsed="false">
      <c r="A295" s="4" t="s">
        <v>98</v>
      </c>
      <c r="B295" s="5" t="n">
        <v>45717</v>
      </c>
      <c r="C295" s="4" t="s">
        <v>21</v>
      </c>
      <c r="D295" s="4" t="s">
        <v>29</v>
      </c>
      <c r="E295" s="4" t="n">
        <v>52843.75</v>
      </c>
      <c r="F295" s="4" t="n">
        <v>8268</v>
      </c>
      <c r="G295" s="4" t="n">
        <v>0.138</v>
      </c>
      <c r="H295" s="4" t="n">
        <v>19</v>
      </c>
      <c r="I295" s="4" t="n">
        <v>87.3</v>
      </c>
      <c r="J295" s="4" t="n">
        <v>4.39</v>
      </c>
      <c r="K295" s="4" t="n">
        <v>1</v>
      </c>
      <c r="L295" s="4" t="n">
        <v>4.7</v>
      </c>
      <c r="M295" s="4" t="n">
        <v>730890.01</v>
      </c>
      <c r="N295" s="4" t="n">
        <v>105502.56</v>
      </c>
    </row>
    <row r="296" customFormat="false" ht="15" hidden="false" customHeight="true" outlineLevel="0" collapsed="false">
      <c r="A296" s="4" t="s">
        <v>98</v>
      </c>
      <c r="B296" s="5" t="n">
        <v>45748</v>
      </c>
      <c r="C296" s="4" t="s">
        <v>21</v>
      </c>
      <c r="D296" s="4" t="s">
        <v>29</v>
      </c>
      <c r="E296" s="4" t="n">
        <v>31997.25</v>
      </c>
      <c r="F296" s="4" t="n">
        <v>8183</v>
      </c>
      <c r="G296" s="4" t="n">
        <v>0.198</v>
      </c>
      <c r="H296" s="4" t="n">
        <v>18</v>
      </c>
      <c r="I296" s="4" t="n">
        <v>93</v>
      </c>
      <c r="J296" s="4" t="n">
        <v>2.79</v>
      </c>
      <c r="K296" s="4" t="n">
        <v>0</v>
      </c>
      <c r="L296" s="4" t="n">
        <v>4.2</v>
      </c>
      <c r="M296" s="4" t="n">
        <v>780580.95</v>
      </c>
      <c r="N296" s="4" t="n">
        <v>138144.46</v>
      </c>
    </row>
    <row r="297" customFormat="false" ht="15" hidden="false" customHeight="true" outlineLevel="0" collapsed="false">
      <c r="A297" s="4" t="s">
        <v>99</v>
      </c>
      <c r="B297" s="5" t="n">
        <v>45658</v>
      </c>
      <c r="C297" s="4" t="s">
        <v>25</v>
      </c>
      <c r="D297" s="4" t="s">
        <v>17</v>
      </c>
      <c r="E297" s="4" t="n">
        <v>54948.02</v>
      </c>
      <c r="F297" s="4" t="n">
        <v>6534</v>
      </c>
      <c r="G297" s="4" t="n">
        <v>0.183</v>
      </c>
      <c r="H297" s="4" t="n">
        <v>14</v>
      </c>
      <c r="I297" s="4" t="n">
        <v>94.5</v>
      </c>
      <c r="J297" s="4" t="n">
        <v>1.56</v>
      </c>
      <c r="K297" s="4" t="n">
        <v>0</v>
      </c>
      <c r="L297" s="4" t="n">
        <v>4</v>
      </c>
      <c r="M297" s="4" t="n">
        <v>727957.48</v>
      </c>
      <c r="N297" s="4" t="n">
        <v>74805.23</v>
      </c>
    </row>
    <row r="298" customFormat="false" ht="15" hidden="false" customHeight="true" outlineLevel="0" collapsed="false">
      <c r="A298" s="4" t="s">
        <v>99</v>
      </c>
      <c r="B298" s="5" t="n">
        <v>45689</v>
      </c>
      <c r="C298" s="4" t="s">
        <v>25</v>
      </c>
      <c r="D298" s="4" t="s">
        <v>17</v>
      </c>
      <c r="E298" s="4" t="n">
        <v>46146.24</v>
      </c>
      <c r="F298" s="4" t="n">
        <v>5804</v>
      </c>
      <c r="G298" s="4" t="n">
        <v>0.047</v>
      </c>
      <c r="H298" s="4" t="n">
        <v>16</v>
      </c>
      <c r="I298" s="4" t="n">
        <v>86.9</v>
      </c>
      <c r="J298" s="4" t="n">
        <v>15.82</v>
      </c>
      <c r="K298" s="4" t="n">
        <v>0</v>
      </c>
      <c r="L298" s="4" t="n">
        <v>3.8</v>
      </c>
      <c r="M298" s="4" t="n">
        <v>538376</v>
      </c>
      <c r="N298" s="4" t="n">
        <v>87605.62</v>
      </c>
    </row>
    <row r="299" customFormat="false" ht="15" hidden="false" customHeight="true" outlineLevel="0" collapsed="false">
      <c r="A299" s="4" t="s">
        <v>99</v>
      </c>
      <c r="B299" s="5" t="n">
        <v>45717</v>
      </c>
      <c r="C299" s="4" t="s">
        <v>25</v>
      </c>
      <c r="D299" s="4" t="s">
        <v>17</v>
      </c>
      <c r="E299" s="4" t="n">
        <v>22387.26</v>
      </c>
      <c r="F299" s="4" t="n">
        <v>6301</v>
      </c>
      <c r="G299" s="4" t="n">
        <v>0.146</v>
      </c>
      <c r="H299" s="4" t="n">
        <v>14</v>
      </c>
      <c r="I299" s="4" t="n">
        <v>85.9</v>
      </c>
      <c r="J299" s="4" t="n">
        <v>1.17</v>
      </c>
      <c r="K299" s="4" t="n">
        <v>1</v>
      </c>
      <c r="L299" s="4" t="n">
        <v>3.7</v>
      </c>
      <c r="M299" s="4" t="n">
        <v>665342.49</v>
      </c>
      <c r="N299" s="4" t="n">
        <v>93441.81</v>
      </c>
    </row>
    <row r="300" customFormat="false" ht="15" hidden="false" customHeight="true" outlineLevel="0" collapsed="false">
      <c r="A300" s="4" t="s">
        <v>99</v>
      </c>
      <c r="B300" s="5" t="n">
        <v>45748</v>
      </c>
      <c r="C300" s="4" t="s">
        <v>25</v>
      </c>
      <c r="D300" s="4" t="s">
        <v>17</v>
      </c>
      <c r="E300" s="4" t="n">
        <v>60684.05</v>
      </c>
      <c r="F300" s="4" t="n">
        <v>6399</v>
      </c>
      <c r="G300" s="4" t="n">
        <v>0.075</v>
      </c>
      <c r="H300" s="4" t="n">
        <v>16</v>
      </c>
      <c r="I300" s="4" t="n">
        <v>99</v>
      </c>
      <c r="J300" s="4" t="n">
        <v>3.82</v>
      </c>
      <c r="K300" s="4" t="n">
        <v>0</v>
      </c>
      <c r="L300" s="4" t="n">
        <v>3.5</v>
      </c>
      <c r="M300" s="4" t="n">
        <v>651164.18</v>
      </c>
      <c r="N300" s="4" t="n">
        <v>109466.5</v>
      </c>
    </row>
    <row r="301" customFormat="false" ht="15" hidden="false" customHeight="true" outlineLevel="0" collapsed="false">
      <c r="A301" s="4" t="s">
        <v>100</v>
      </c>
      <c r="B301" s="5" t="n">
        <v>45658</v>
      </c>
      <c r="C301" s="4" t="s">
        <v>25</v>
      </c>
      <c r="D301" s="4" t="s">
        <v>19</v>
      </c>
      <c r="E301" s="4" t="n">
        <v>48465.6</v>
      </c>
      <c r="F301" s="4" t="n">
        <v>5759</v>
      </c>
      <c r="G301" s="4" t="n">
        <v>0.154</v>
      </c>
      <c r="H301" s="4" t="n">
        <v>13</v>
      </c>
      <c r="I301" s="4" t="n">
        <v>87.5</v>
      </c>
      <c r="J301" s="4" t="n">
        <v>4.14</v>
      </c>
      <c r="K301" s="4" t="n">
        <v>0</v>
      </c>
      <c r="L301" s="4" t="n">
        <v>4</v>
      </c>
      <c r="M301" s="4" t="n">
        <v>628538.3</v>
      </c>
      <c r="N301" s="4" t="n">
        <v>112509.15</v>
      </c>
    </row>
    <row r="302" customFormat="false" ht="15" hidden="false" customHeight="true" outlineLevel="0" collapsed="false">
      <c r="A302" s="4" t="s">
        <v>100</v>
      </c>
      <c r="B302" s="5" t="n">
        <v>45689</v>
      </c>
      <c r="C302" s="4" t="s">
        <v>25</v>
      </c>
      <c r="D302" s="4" t="s">
        <v>19</v>
      </c>
      <c r="E302" s="4" t="n">
        <v>23702.38</v>
      </c>
      <c r="F302" s="4" t="n">
        <v>5285</v>
      </c>
      <c r="G302" s="4" t="n">
        <v>0.167</v>
      </c>
      <c r="H302" s="4" t="n">
        <v>14</v>
      </c>
      <c r="I302" s="4" t="n">
        <v>79.7</v>
      </c>
      <c r="J302" s="4" t="n">
        <v>1.1</v>
      </c>
      <c r="K302" s="4" t="n">
        <v>0</v>
      </c>
      <c r="L302" s="4" t="n">
        <v>4.3</v>
      </c>
      <c r="M302" s="4" t="n">
        <v>536524.84</v>
      </c>
      <c r="N302" s="4" t="n">
        <v>92752.94</v>
      </c>
    </row>
    <row r="303" customFormat="false" ht="15" hidden="false" customHeight="true" outlineLevel="0" collapsed="false">
      <c r="A303" s="4" t="s">
        <v>100</v>
      </c>
      <c r="B303" s="5" t="n">
        <v>45717</v>
      </c>
      <c r="C303" s="4" t="s">
        <v>25</v>
      </c>
      <c r="D303" s="4" t="s">
        <v>19</v>
      </c>
      <c r="E303" s="4" t="n">
        <v>54322.94</v>
      </c>
      <c r="F303" s="4" t="n">
        <v>5434</v>
      </c>
      <c r="G303" s="4" t="n">
        <v>0.2</v>
      </c>
      <c r="H303" s="4" t="n">
        <v>13</v>
      </c>
      <c r="I303" s="4" t="n">
        <v>85.7</v>
      </c>
      <c r="J303" s="4" t="n">
        <v>10.6</v>
      </c>
      <c r="K303" s="4" t="n">
        <v>0</v>
      </c>
      <c r="L303" s="4" t="n">
        <v>4.2</v>
      </c>
      <c r="M303" s="4" t="n">
        <v>621677.3</v>
      </c>
      <c r="N303" s="4" t="n">
        <v>105192.52</v>
      </c>
    </row>
    <row r="304" customFormat="false" ht="15" hidden="false" customHeight="true" outlineLevel="0" collapsed="false">
      <c r="A304" s="4" t="s">
        <v>101</v>
      </c>
      <c r="B304" s="5" t="n">
        <v>45658</v>
      </c>
      <c r="C304" s="4" t="s">
        <v>21</v>
      </c>
      <c r="D304" s="4" t="s">
        <v>17</v>
      </c>
      <c r="E304" s="4" t="n">
        <v>78967.52</v>
      </c>
      <c r="F304" s="4" t="n">
        <v>6164</v>
      </c>
      <c r="G304" s="4" t="n">
        <v>0.021</v>
      </c>
      <c r="H304" s="4" t="n">
        <v>16</v>
      </c>
      <c r="I304" s="4" t="n">
        <v>85.5</v>
      </c>
      <c r="J304" s="4" t="n">
        <v>0.2</v>
      </c>
      <c r="K304" s="4" t="n">
        <v>0</v>
      </c>
      <c r="L304" s="4" t="n">
        <v>3.4</v>
      </c>
      <c r="M304" s="4" t="n">
        <v>702052.47</v>
      </c>
      <c r="N304" s="4" t="n">
        <v>121732.51</v>
      </c>
    </row>
    <row r="305" customFormat="false" ht="15" hidden="false" customHeight="true" outlineLevel="0" collapsed="false">
      <c r="A305" s="4" t="s">
        <v>101</v>
      </c>
      <c r="B305" s="5" t="n">
        <v>45717</v>
      </c>
      <c r="C305" s="4" t="s">
        <v>21</v>
      </c>
      <c r="D305" s="4" t="s">
        <v>17</v>
      </c>
      <c r="E305" s="4" t="n">
        <v>62507.16</v>
      </c>
      <c r="F305" s="4" t="n">
        <v>6000</v>
      </c>
      <c r="G305" s="4" t="n">
        <v>0.091</v>
      </c>
      <c r="H305" s="4" t="n">
        <v>14</v>
      </c>
      <c r="I305" s="4" t="n">
        <v>98.2</v>
      </c>
      <c r="J305" s="4" t="n">
        <v>4.38</v>
      </c>
      <c r="K305" s="4" t="n">
        <v>1</v>
      </c>
      <c r="L305" s="4" t="n">
        <v>3.9</v>
      </c>
      <c r="M305" s="4" t="n">
        <v>712375.77</v>
      </c>
      <c r="N305" s="4" t="n">
        <v>104171.53</v>
      </c>
    </row>
    <row r="306" customFormat="false" ht="15" hidden="false" customHeight="true" outlineLevel="0" collapsed="false">
      <c r="A306" s="4" t="s">
        <v>101</v>
      </c>
      <c r="B306" s="5" t="n">
        <v>45748</v>
      </c>
      <c r="C306" s="4" t="s">
        <v>21</v>
      </c>
      <c r="D306" s="4" t="s">
        <v>17</v>
      </c>
      <c r="E306" s="4" t="n">
        <v>66456.28</v>
      </c>
      <c r="F306" s="4" t="n">
        <v>9967</v>
      </c>
      <c r="G306" s="4" t="n">
        <v>0.108</v>
      </c>
      <c r="H306" s="4" t="n">
        <v>20</v>
      </c>
      <c r="I306" s="4" t="n">
        <v>94.7</v>
      </c>
      <c r="J306" s="4" t="n">
        <v>4.48</v>
      </c>
      <c r="K306" s="4" t="n">
        <v>0</v>
      </c>
      <c r="L306" s="4" t="n">
        <v>4.2</v>
      </c>
      <c r="M306" s="4" t="n">
        <v>844710.67</v>
      </c>
      <c r="N306" s="4" t="n">
        <v>137140.18</v>
      </c>
    </row>
    <row r="307" customFormat="false" ht="15" hidden="false" customHeight="true" outlineLevel="0" collapsed="false">
      <c r="A307" s="4" t="s">
        <v>102</v>
      </c>
      <c r="B307" s="5" t="n">
        <v>45658</v>
      </c>
      <c r="C307" s="4" t="s">
        <v>16</v>
      </c>
      <c r="D307" s="4" t="s">
        <v>17</v>
      </c>
      <c r="E307" s="4" t="n">
        <v>76614.32</v>
      </c>
      <c r="F307" s="4" t="n">
        <v>5639</v>
      </c>
      <c r="G307" s="4" t="n">
        <v>0.174</v>
      </c>
      <c r="H307" s="4" t="n">
        <v>15</v>
      </c>
      <c r="I307" s="4" t="n">
        <v>92.9</v>
      </c>
      <c r="J307" s="4" t="n">
        <v>1.02</v>
      </c>
      <c r="K307" s="4" t="n">
        <v>1</v>
      </c>
      <c r="L307" s="4" t="n">
        <v>4</v>
      </c>
      <c r="M307" s="4" t="n">
        <v>620264.2</v>
      </c>
      <c r="N307" s="4" t="n">
        <v>91365.64</v>
      </c>
    </row>
    <row r="308" customFormat="false" ht="15" hidden="false" customHeight="true" outlineLevel="0" collapsed="false">
      <c r="A308" s="4" t="s">
        <v>102</v>
      </c>
      <c r="B308" s="5" t="n">
        <v>45689</v>
      </c>
      <c r="C308" s="4" t="s">
        <v>16</v>
      </c>
      <c r="D308" s="4" t="s">
        <v>17</v>
      </c>
      <c r="E308" s="4" t="n">
        <v>24088.06</v>
      </c>
      <c r="F308" s="4" t="n">
        <v>3466</v>
      </c>
      <c r="G308" s="4" t="n">
        <v>0</v>
      </c>
      <c r="H308" s="4" t="n">
        <v>11</v>
      </c>
      <c r="I308" s="4" t="n">
        <v>88</v>
      </c>
      <c r="J308" s="4" t="n">
        <v>0.2</v>
      </c>
      <c r="K308" s="4" t="n">
        <v>0</v>
      </c>
      <c r="L308" s="4" t="n">
        <v>3.8</v>
      </c>
      <c r="M308" s="4" t="n">
        <v>536845.42</v>
      </c>
      <c r="N308" s="4" t="n">
        <v>107473.75</v>
      </c>
    </row>
    <row r="309" customFormat="false" ht="15" hidden="false" customHeight="true" outlineLevel="0" collapsed="false">
      <c r="A309" s="4" t="s">
        <v>102</v>
      </c>
      <c r="B309" s="5" t="n">
        <v>45717</v>
      </c>
      <c r="C309" s="4" t="s">
        <v>16</v>
      </c>
      <c r="D309" s="4" t="s">
        <v>17</v>
      </c>
      <c r="E309" s="4" t="n">
        <v>81902.58</v>
      </c>
      <c r="F309" s="4" t="n">
        <v>7775</v>
      </c>
      <c r="G309" s="4" t="n">
        <v>0.215</v>
      </c>
      <c r="H309" s="4" t="n">
        <v>20</v>
      </c>
      <c r="I309" s="4" t="n">
        <v>85.2</v>
      </c>
      <c r="J309" s="4" t="n">
        <v>4.89</v>
      </c>
      <c r="K309" s="4" t="n">
        <v>1</v>
      </c>
      <c r="L309" s="4" t="n">
        <v>4.2</v>
      </c>
      <c r="M309" s="4" t="n">
        <v>726776.22</v>
      </c>
      <c r="N309" s="4" t="n">
        <v>90804.49</v>
      </c>
    </row>
    <row r="310" customFormat="false" ht="15" hidden="false" customHeight="true" outlineLevel="0" collapsed="false">
      <c r="A310" s="4" t="s">
        <v>102</v>
      </c>
      <c r="B310" s="5" t="n">
        <v>45748</v>
      </c>
      <c r="C310" s="4" t="s">
        <v>16</v>
      </c>
      <c r="D310" s="4" t="s">
        <v>17</v>
      </c>
      <c r="E310" s="4" t="n">
        <v>40553.11</v>
      </c>
      <c r="F310" s="4" t="n">
        <v>5317</v>
      </c>
      <c r="G310" s="4" t="n">
        <v>0.165</v>
      </c>
      <c r="H310" s="4" t="n">
        <v>17</v>
      </c>
      <c r="I310" s="4" t="n">
        <v>84.3</v>
      </c>
      <c r="J310" s="4" t="n">
        <v>11.82</v>
      </c>
      <c r="K310" s="4" t="n">
        <v>0</v>
      </c>
      <c r="L310" s="4" t="n">
        <v>4.1</v>
      </c>
      <c r="M310" s="4" t="n">
        <v>559660.84</v>
      </c>
      <c r="N310" s="4" t="n">
        <v>71443.61</v>
      </c>
    </row>
  </sheetData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6" min="6" style="1" width="14"/>
    <col collapsed="false" customWidth="true" hidden="false" outlineLevel="0" max="7" min="7" style="1" width="15"/>
  </cols>
  <sheetData>
    <row r="1" customFormat="false" ht="15.75" hidden="false" customHeight="true" outlineLevel="0" collapsed="false">
      <c r="A1" s="2" t="s">
        <v>108</v>
      </c>
    </row>
    <row r="2" customFormat="false" ht="30" hidden="false" customHeight="true" outlineLevel="0" collapsed="false">
      <c r="A2" s="8" t="s">
        <v>109</v>
      </c>
      <c r="B2" s="8"/>
      <c r="C2" s="8"/>
      <c r="D2" s="8"/>
      <c r="E2" s="8"/>
      <c r="F2" s="8"/>
      <c r="G2" s="8"/>
      <c r="H2" s="8"/>
      <c r="J2" s="7" t="s">
        <v>110</v>
      </c>
    </row>
    <row r="3" customFormat="false" ht="15" hidden="false" customHeight="true" outlineLevel="0" collapsed="false">
      <c r="J3" s="4" t="s">
        <v>111</v>
      </c>
      <c r="K3" s="7" t="n">
        <f aca="false">SUM(D5:D310)</f>
        <v>28</v>
      </c>
    </row>
    <row r="4" customFormat="false" ht="15" hidden="false" customHeight="true" outlineLevel="0" collapsed="false">
      <c r="A4" s="3" t="s">
        <v>1</v>
      </c>
      <c r="B4" s="3" t="s">
        <v>2</v>
      </c>
      <c r="C4" s="3" t="s">
        <v>4</v>
      </c>
      <c r="D4" s="3" t="s">
        <v>112</v>
      </c>
      <c r="E4" s="3" t="s">
        <v>113</v>
      </c>
      <c r="F4" s="3" t="s">
        <v>114</v>
      </c>
      <c r="G4" s="3" t="s">
        <v>13</v>
      </c>
      <c r="J4" s="4" t="s">
        <v>115</v>
      </c>
      <c r="K4" s="7" t="n">
        <f aca="false">SUM(E5:E310)</f>
        <v>74</v>
      </c>
    </row>
    <row r="5" customFormat="false" ht="15" hidden="false" customHeight="true" outlineLevel="0" collapsed="false">
      <c r="A5" s="9" t="str">
        <f aca="false">Cleaned_Prepared_Data!A5</f>
        <v>STR-1001</v>
      </c>
      <c r="B5" s="10" t="n">
        <f aca="false">Cleaned_Prepared_Data!B5</f>
        <v>45658</v>
      </c>
      <c r="C5" s="9" t="str">
        <f aca="false">Cleaned_Prepared_Data!D5</f>
        <v>Residential</v>
      </c>
      <c r="D5" s="4" t="n">
        <f aca="false">IF(C5="Airport",1,0)</f>
        <v>0</v>
      </c>
      <c r="E5" s="4" t="n">
        <f aca="false">IF(C5="Mall",1,0)</f>
        <v>0</v>
      </c>
      <c r="F5" s="4" t="n">
        <f aca="false">IF(C5="Residential",1,0)</f>
        <v>1</v>
      </c>
      <c r="G5" s="9" t="n">
        <f aca="false">Cleaned_Prepared_Data!M5</f>
        <v>658832.62</v>
      </c>
      <c r="J5" s="4" t="s">
        <v>116</v>
      </c>
      <c r="K5" s="7" t="n">
        <f aca="false">SUM(F5:F310)</f>
        <v>96</v>
      </c>
    </row>
    <row r="6" customFormat="false" ht="15" hidden="false" customHeight="true" outlineLevel="0" collapsed="false">
      <c r="A6" s="9" t="str">
        <f aca="false">Cleaned_Prepared_Data!A6</f>
        <v>STR-1001</v>
      </c>
      <c r="B6" s="10" t="n">
        <f aca="false">Cleaned_Prepared_Data!B6</f>
        <v>45689</v>
      </c>
      <c r="C6" s="9" t="str">
        <f aca="false">Cleaned_Prepared_Data!D6</f>
        <v>Residential</v>
      </c>
      <c r="D6" s="4" t="n">
        <f aca="false">IF(C6="Airport",1,0)</f>
        <v>0</v>
      </c>
      <c r="E6" s="4" t="n">
        <f aca="false">IF(C6="Mall",1,0)</f>
        <v>0</v>
      </c>
      <c r="F6" s="4" t="n">
        <f aca="false">IF(C6="Residential",1,0)</f>
        <v>1</v>
      </c>
      <c r="G6" s="9" t="n">
        <f aca="false">Cleaned_Prepared_Data!M6</f>
        <v>634436</v>
      </c>
      <c r="J6" s="4" t="s">
        <v>117</v>
      </c>
      <c r="K6" s="7" t="n">
        <f aca="false">COUNTIFS(D5:D310,0,E5:E310,0,F5:F310,0)</f>
        <v>108</v>
      </c>
    </row>
    <row r="7" customFormat="false" ht="15" hidden="false" customHeight="true" outlineLevel="0" collapsed="false">
      <c r="A7" s="9" t="str">
        <f aca="false">Cleaned_Prepared_Data!A7</f>
        <v>STR-1001</v>
      </c>
      <c r="B7" s="10" t="n">
        <f aca="false">Cleaned_Prepared_Data!B7</f>
        <v>45717</v>
      </c>
      <c r="C7" s="9" t="str">
        <f aca="false">Cleaned_Prepared_Data!D7</f>
        <v>Residential</v>
      </c>
      <c r="D7" s="4" t="n">
        <f aca="false">IF(C7="Airport",1,0)</f>
        <v>0</v>
      </c>
      <c r="E7" s="4" t="n">
        <f aca="false">IF(C7="Mall",1,0)</f>
        <v>0</v>
      </c>
      <c r="F7" s="4" t="n">
        <f aca="false">IF(C7="Residential",1,0)</f>
        <v>1</v>
      </c>
      <c r="G7" s="9" t="n">
        <f aca="false">Cleaned_Prepared_Data!M7</f>
        <v>678722.06</v>
      </c>
      <c r="J7" s="4" t="s">
        <v>118</v>
      </c>
      <c r="K7" s="7" t="n">
        <f aca="false">COUNTA(C5:C310)</f>
        <v>306</v>
      </c>
    </row>
    <row r="8" customFormat="false" ht="15" hidden="false" customHeight="true" outlineLevel="0" collapsed="false">
      <c r="A8" s="9" t="str">
        <f aca="false">Cleaned_Prepared_Data!A8</f>
        <v>STR-1001</v>
      </c>
      <c r="B8" s="10" t="n">
        <f aca="false">Cleaned_Prepared_Data!B8</f>
        <v>45748</v>
      </c>
      <c r="C8" s="9" t="str">
        <f aca="false">Cleaned_Prepared_Data!D8</f>
        <v>Residential</v>
      </c>
      <c r="D8" s="4" t="n">
        <f aca="false">IF(C8="Airport",1,0)</f>
        <v>0</v>
      </c>
      <c r="E8" s="4" t="n">
        <f aca="false">IF(C8="Mall",1,0)</f>
        <v>0</v>
      </c>
      <c r="F8" s="4" t="n">
        <f aca="false">IF(C8="Residential",1,0)</f>
        <v>1</v>
      </c>
      <c r="G8" s="9" t="n">
        <f aca="false">Cleaned_Prepared_Data!M8</f>
        <v>658920.3</v>
      </c>
    </row>
    <row r="9" customFormat="false" ht="15" hidden="false" customHeight="true" outlineLevel="0" collapsed="false">
      <c r="A9" s="9" t="str">
        <f aca="false">Cleaned_Prepared_Data!A9</f>
        <v>STR-1002</v>
      </c>
      <c r="B9" s="10" t="n">
        <f aca="false">Cleaned_Prepared_Data!B9</f>
        <v>45658</v>
      </c>
      <c r="C9" s="9" t="str">
        <f aca="false">Cleaned_Prepared_Data!D9</f>
        <v>High Street</v>
      </c>
      <c r="D9" s="4" t="n">
        <f aca="false">IF(C9="Airport",1,0)</f>
        <v>0</v>
      </c>
      <c r="E9" s="4" t="n">
        <f aca="false">IF(C9="Mall",1,0)</f>
        <v>0</v>
      </c>
      <c r="F9" s="4" t="n">
        <f aca="false">IF(C9="Residential",1,0)</f>
        <v>0</v>
      </c>
      <c r="G9" s="9" t="n">
        <f aca="false">Cleaned_Prepared_Data!M9</f>
        <v>741341.44</v>
      </c>
    </row>
    <row r="10" customFormat="false" ht="15" hidden="false" customHeight="true" outlineLevel="0" collapsed="false">
      <c r="A10" s="9" t="str">
        <f aca="false">Cleaned_Prepared_Data!A10</f>
        <v>STR-1002</v>
      </c>
      <c r="B10" s="10" t="n">
        <f aca="false">Cleaned_Prepared_Data!B10</f>
        <v>45689</v>
      </c>
      <c r="C10" s="9" t="str">
        <f aca="false">Cleaned_Prepared_Data!D10</f>
        <v>High Street</v>
      </c>
      <c r="D10" s="4" t="n">
        <f aca="false">IF(C10="Airport",1,0)</f>
        <v>0</v>
      </c>
      <c r="E10" s="4" t="n">
        <f aca="false">IF(C10="Mall",1,0)</f>
        <v>0</v>
      </c>
      <c r="F10" s="4" t="n">
        <f aca="false">IF(C10="Residential",1,0)</f>
        <v>0</v>
      </c>
      <c r="G10" s="9" t="n">
        <f aca="false">Cleaned_Prepared_Data!M10</f>
        <v>761835.34</v>
      </c>
    </row>
    <row r="11" customFormat="false" ht="15" hidden="false" customHeight="true" outlineLevel="0" collapsed="false">
      <c r="A11" s="9" t="str">
        <f aca="false">Cleaned_Prepared_Data!A11</f>
        <v>STR-1002</v>
      </c>
      <c r="B11" s="10" t="n">
        <f aca="false">Cleaned_Prepared_Data!B11</f>
        <v>45717</v>
      </c>
      <c r="C11" s="9" t="str">
        <f aca="false">Cleaned_Prepared_Data!D11</f>
        <v>High Street</v>
      </c>
      <c r="D11" s="4" t="n">
        <f aca="false">IF(C11="Airport",1,0)</f>
        <v>0</v>
      </c>
      <c r="E11" s="4" t="n">
        <f aca="false">IF(C11="Mall",1,0)</f>
        <v>0</v>
      </c>
      <c r="F11" s="4" t="n">
        <f aca="false">IF(C11="Residential",1,0)</f>
        <v>0</v>
      </c>
      <c r="G11" s="9" t="n">
        <f aca="false">Cleaned_Prepared_Data!M11</f>
        <v>806615.54</v>
      </c>
    </row>
    <row r="12" customFormat="false" ht="15" hidden="false" customHeight="true" outlineLevel="0" collapsed="false">
      <c r="A12" s="9" t="str">
        <f aca="false">Cleaned_Prepared_Data!A12</f>
        <v>STR-1002</v>
      </c>
      <c r="B12" s="10" t="n">
        <f aca="false">Cleaned_Prepared_Data!B12</f>
        <v>45748</v>
      </c>
      <c r="C12" s="9" t="str">
        <f aca="false">Cleaned_Prepared_Data!D12</f>
        <v>High Street</v>
      </c>
      <c r="D12" s="4" t="n">
        <f aca="false">IF(C12="Airport",1,0)</f>
        <v>0</v>
      </c>
      <c r="E12" s="4" t="n">
        <f aca="false">IF(C12="Mall",1,0)</f>
        <v>0</v>
      </c>
      <c r="F12" s="4" t="n">
        <f aca="false">IF(C12="Residential",1,0)</f>
        <v>0</v>
      </c>
      <c r="G12" s="9" t="n">
        <f aca="false">Cleaned_Prepared_Data!M12</f>
        <v>850164.26</v>
      </c>
    </row>
    <row r="13" customFormat="false" ht="15" hidden="false" customHeight="true" outlineLevel="0" collapsed="false">
      <c r="A13" s="9" t="str">
        <f aca="false">Cleaned_Prepared_Data!A13</f>
        <v>STR-1003</v>
      </c>
      <c r="B13" s="10" t="n">
        <f aca="false">Cleaned_Prepared_Data!B13</f>
        <v>45658</v>
      </c>
      <c r="C13" s="9" t="str">
        <f aca="false">Cleaned_Prepared_Data!D13</f>
        <v>Airport</v>
      </c>
      <c r="D13" s="4" t="n">
        <f aca="false">IF(C13="Airport",1,0)</f>
        <v>1</v>
      </c>
      <c r="E13" s="4" t="n">
        <f aca="false">IF(C13="Mall",1,0)</f>
        <v>0</v>
      </c>
      <c r="F13" s="4" t="n">
        <f aca="false">IF(C13="Residential",1,0)</f>
        <v>0</v>
      </c>
      <c r="G13" s="9" t="n">
        <f aca="false">Cleaned_Prepared_Data!M13</f>
        <v>930581.7</v>
      </c>
    </row>
    <row r="14" customFormat="false" ht="15" hidden="false" customHeight="true" outlineLevel="0" collapsed="false">
      <c r="A14" s="9" t="str">
        <f aca="false">Cleaned_Prepared_Data!A14</f>
        <v>STR-1003</v>
      </c>
      <c r="B14" s="10" t="n">
        <f aca="false">Cleaned_Prepared_Data!B14</f>
        <v>45689</v>
      </c>
      <c r="C14" s="9" t="str">
        <f aca="false">Cleaned_Prepared_Data!D14</f>
        <v>Airport</v>
      </c>
      <c r="D14" s="4" t="n">
        <f aca="false">IF(C14="Airport",1,0)</f>
        <v>1</v>
      </c>
      <c r="E14" s="4" t="n">
        <f aca="false">IF(C14="Mall",1,0)</f>
        <v>0</v>
      </c>
      <c r="F14" s="4" t="n">
        <f aca="false">IF(C14="Residential",1,0)</f>
        <v>0</v>
      </c>
      <c r="G14" s="9" t="n">
        <f aca="false">Cleaned_Prepared_Data!M14</f>
        <v>779010.94</v>
      </c>
    </row>
    <row r="15" customFormat="false" ht="15" hidden="false" customHeight="true" outlineLevel="0" collapsed="false">
      <c r="A15" s="9" t="str">
        <f aca="false">Cleaned_Prepared_Data!A15</f>
        <v>STR-1003</v>
      </c>
      <c r="B15" s="10" t="n">
        <f aca="false">Cleaned_Prepared_Data!B15</f>
        <v>45717</v>
      </c>
      <c r="C15" s="9" t="str">
        <f aca="false">Cleaned_Prepared_Data!D15</f>
        <v>Airport</v>
      </c>
      <c r="D15" s="4" t="n">
        <f aca="false">IF(C15="Airport",1,0)</f>
        <v>1</v>
      </c>
      <c r="E15" s="4" t="n">
        <f aca="false">IF(C15="Mall",1,0)</f>
        <v>0</v>
      </c>
      <c r="F15" s="4" t="n">
        <f aca="false">IF(C15="Residential",1,0)</f>
        <v>0</v>
      </c>
      <c r="G15" s="9" t="n">
        <f aca="false">Cleaned_Prepared_Data!M15</f>
        <v>723060.76</v>
      </c>
    </row>
    <row r="16" customFormat="false" ht="15" hidden="false" customHeight="true" outlineLevel="0" collapsed="false">
      <c r="A16" s="9" t="str">
        <f aca="false">Cleaned_Prepared_Data!A16</f>
        <v>STR-1003</v>
      </c>
      <c r="B16" s="10" t="n">
        <f aca="false">Cleaned_Prepared_Data!B16</f>
        <v>45748</v>
      </c>
      <c r="C16" s="9" t="str">
        <f aca="false">Cleaned_Prepared_Data!D16</f>
        <v>Airport</v>
      </c>
      <c r="D16" s="4" t="n">
        <f aca="false">IF(C16="Airport",1,0)</f>
        <v>1</v>
      </c>
      <c r="E16" s="4" t="n">
        <f aca="false">IF(C16="Mall",1,0)</f>
        <v>0</v>
      </c>
      <c r="F16" s="4" t="n">
        <f aca="false">IF(C16="Residential",1,0)</f>
        <v>0</v>
      </c>
      <c r="G16" s="9" t="n">
        <f aca="false">Cleaned_Prepared_Data!M16</f>
        <v>910791.94</v>
      </c>
    </row>
    <row r="17" customFormat="false" ht="15" hidden="false" customHeight="true" outlineLevel="0" collapsed="false">
      <c r="A17" s="9" t="str">
        <f aca="false">Cleaned_Prepared_Data!A17</f>
        <v>STR-1004</v>
      </c>
      <c r="B17" s="10" t="n">
        <f aca="false">Cleaned_Prepared_Data!B17</f>
        <v>45658</v>
      </c>
      <c r="C17" s="9" t="str">
        <f aca="false">Cleaned_Prepared_Data!D17</f>
        <v>Residential</v>
      </c>
      <c r="D17" s="4" t="n">
        <f aca="false">IF(C17="Airport",1,0)</f>
        <v>0</v>
      </c>
      <c r="E17" s="4" t="n">
        <f aca="false">IF(C17="Mall",1,0)</f>
        <v>0</v>
      </c>
      <c r="F17" s="4" t="n">
        <f aca="false">IF(C17="Residential",1,0)</f>
        <v>1</v>
      </c>
      <c r="G17" s="9" t="n">
        <f aca="false">Cleaned_Prepared_Data!M17</f>
        <v>922168.6</v>
      </c>
    </row>
    <row r="18" customFormat="false" ht="15" hidden="false" customHeight="true" outlineLevel="0" collapsed="false">
      <c r="A18" s="9" t="str">
        <f aca="false">Cleaned_Prepared_Data!A18</f>
        <v>STR-1004</v>
      </c>
      <c r="B18" s="10" t="n">
        <f aca="false">Cleaned_Prepared_Data!B18</f>
        <v>45689</v>
      </c>
      <c r="C18" s="9" t="str">
        <f aca="false">Cleaned_Prepared_Data!D18</f>
        <v>Residential</v>
      </c>
      <c r="D18" s="4" t="n">
        <f aca="false">IF(C18="Airport",1,0)</f>
        <v>0</v>
      </c>
      <c r="E18" s="4" t="n">
        <f aca="false">IF(C18="Mall",1,0)</f>
        <v>0</v>
      </c>
      <c r="F18" s="4" t="n">
        <f aca="false">IF(C18="Residential",1,0)</f>
        <v>1</v>
      </c>
      <c r="G18" s="9" t="n">
        <f aca="false">Cleaned_Prepared_Data!M18</f>
        <v>726606.28</v>
      </c>
    </row>
    <row r="19" customFormat="false" ht="15" hidden="false" customHeight="true" outlineLevel="0" collapsed="false">
      <c r="A19" s="9" t="str">
        <f aca="false">Cleaned_Prepared_Data!A19</f>
        <v>STR-1004</v>
      </c>
      <c r="B19" s="10" t="n">
        <f aca="false">Cleaned_Prepared_Data!B19</f>
        <v>45717</v>
      </c>
      <c r="C19" s="9" t="str">
        <f aca="false">Cleaned_Prepared_Data!D19</f>
        <v>Residential</v>
      </c>
      <c r="D19" s="4" t="n">
        <f aca="false">IF(C19="Airport",1,0)</f>
        <v>0</v>
      </c>
      <c r="E19" s="4" t="n">
        <f aca="false">IF(C19="Mall",1,0)</f>
        <v>0</v>
      </c>
      <c r="F19" s="4" t="n">
        <f aca="false">IF(C19="Residential",1,0)</f>
        <v>1</v>
      </c>
      <c r="G19" s="9" t="n">
        <f aca="false">Cleaned_Prepared_Data!M19</f>
        <v>746501.09</v>
      </c>
    </row>
    <row r="20" customFormat="false" ht="15" hidden="false" customHeight="true" outlineLevel="0" collapsed="false">
      <c r="A20" s="9" t="str">
        <f aca="false">Cleaned_Prepared_Data!A20</f>
        <v>STR-1004</v>
      </c>
      <c r="B20" s="10" t="n">
        <f aca="false">Cleaned_Prepared_Data!B20</f>
        <v>45748</v>
      </c>
      <c r="C20" s="9" t="str">
        <f aca="false">Cleaned_Prepared_Data!D20</f>
        <v>Residential</v>
      </c>
      <c r="D20" s="4" t="n">
        <f aca="false">IF(C20="Airport",1,0)</f>
        <v>0</v>
      </c>
      <c r="E20" s="4" t="n">
        <f aca="false">IF(C20="Mall",1,0)</f>
        <v>0</v>
      </c>
      <c r="F20" s="4" t="n">
        <f aca="false">IF(C20="Residential",1,0)</f>
        <v>1</v>
      </c>
      <c r="G20" s="9" t="n">
        <f aca="false">Cleaned_Prepared_Data!M20</f>
        <v>834017.02</v>
      </c>
    </row>
    <row r="21" customFormat="false" ht="15" hidden="false" customHeight="true" outlineLevel="0" collapsed="false">
      <c r="A21" s="9" t="str">
        <f aca="false">Cleaned_Prepared_Data!A21</f>
        <v>STR-1005</v>
      </c>
      <c r="B21" s="10" t="n">
        <f aca="false">Cleaned_Prepared_Data!B21</f>
        <v>45658</v>
      </c>
      <c r="C21" s="9" t="str">
        <f aca="false">Cleaned_Prepared_Data!D21</f>
        <v>Residential</v>
      </c>
      <c r="D21" s="4" t="n">
        <f aca="false">IF(C21="Airport",1,0)</f>
        <v>0</v>
      </c>
      <c r="E21" s="4" t="n">
        <f aca="false">IF(C21="Mall",1,0)</f>
        <v>0</v>
      </c>
      <c r="F21" s="4" t="n">
        <f aca="false">IF(C21="Residential",1,0)</f>
        <v>1</v>
      </c>
      <c r="G21" s="9" t="n">
        <f aca="false">Cleaned_Prepared_Data!M21</f>
        <v>666152.52</v>
      </c>
    </row>
    <row r="22" customFormat="false" ht="15" hidden="false" customHeight="true" outlineLevel="0" collapsed="false">
      <c r="A22" s="9" t="str">
        <f aca="false">Cleaned_Prepared_Data!A22</f>
        <v>STR-1005</v>
      </c>
      <c r="B22" s="10" t="n">
        <f aca="false">Cleaned_Prepared_Data!B22</f>
        <v>45689</v>
      </c>
      <c r="C22" s="9" t="str">
        <f aca="false">Cleaned_Prepared_Data!D22</f>
        <v>Residential</v>
      </c>
      <c r="D22" s="4" t="n">
        <f aca="false">IF(C22="Airport",1,0)</f>
        <v>0</v>
      </c>
      <c r="E22" s="4" t="n">
        <f aca="false">IF(C22="Mall",1,0)</f>
        <v>0</v>
      </c>
      <c r="F22" s="4" t="n">
        <f aca="false">IF(C22="Residential",1,0)</f>
        <v>1</v>
      </c>
      <c r="G22" s="9" t="n">
        <f aca="false">Cleaned_Prepared_Data!M22</f>
        <v>573155.19</v>
      </c>
    </row>
    <row r="23" customFormat="false" ht="15" hidden="false" customHeight="true" outlineLevel="0" collapsed="false">
      <c r="A23" s="9" t="str">
        <f aca="false">Cleaned_Prepared_Data!A23</f>
        <v>STR-1005</v>
      </c>
      <c r="B23" s="10" t="n">
        <f aca="false">Cleaned_Prepared_Data!B23</f>
        <v>45717</v>
      </c>
      <c r="C23" s="9" t="str">
        <f aca="false">Cleaned_Prepared_Data!D23</f>
        <v>Residential</v>
      </c>
      <c r="D23" s="4" t="n">
        <f aca="false">IF(C23="Airport",1,0)</f>
        <v>0</v>
      </c>
      <c r="E23" s="4" t="n">
        <f aca="false">IF(C23="Mall",1,0)</f>
        <v>0</v>
      </c>
      <c r="F23" s="4" t="n">
        <f aca="false">IF(C23="Residential",1,0)</f>
        <v>1</v>
      </c>
      <c r="G23" s="9" t="n">
        <f aca="false">Cleaned_Prepared_Data!M23</f>
        <v>666573.2</v>
      </c>
    </row>
    <row r="24" customFormat="false" ht="15" hidden="false" customHeight="true" outlineLevel="0" collapsed="false">
      <c r="A24" s="9" t="str">
        <f aca="false">Cleaned_Prepared_Data!A24</f>
        <v>STR-1005</v>
      </c>
      <c r="B24" s="10" t="n">
        <f aca="false">Cleaned_Prepared_Data!B24</f>
        <v>45748</v>
      </c>
      <c r="C24" s="9" t="str">
        <f aca="false">Cleaned_Prepared_Data!D24</f>
        <v>Residential</v>
      </c>
      <c r="D24" s="4" t="n">
        <f aca="false">IF(C24="Airport",1,0)</f>
        <v>0</v>
      </c>
      <c r="E24" s="4" t="n">
        <f aca="false">IF(C24="Mall",1,0)</f>
        <v>0</v>
      </c>
      <c r="F24" s="4" t="n">
        <f aca="false">IF(C24="Residential",1,0)</f>
        <v>1</v>
      </c>
      <c r="G24" s="9" t="n">
        <f aca="false">Cleaned_Prepared_Data!M24</f>
        <v>591619.95</v>
      </c>
    </row>
    <row r="25" customFormat="false" ht="15" hidden="false" customHeight="true" outlineLevel="0" collapsed="false">
      <c r="A25" s="9" t="str">
        <f aca="false">Cleaned_Prepared_Data!A25</f>
        <v>STR-1006</v>
      </c>
      <c r="B25" s="10" t="n">
        <f aca="false">Cleaned_Prepared_Data!B25</f>
        <v>45658</v>
      </c>
      <c r="C25" s="9" t="str">
        <f aca="false">Cleaned_Prepared_Data!D25</f>
        <v>Residential</v>
      </c>
      <c r="D25" s="4" t="n">
        <f aca="false">IF(C25="Airport",1,0)</f>
        <v>0</v>
      </c>
      <c r="E25" s="4" t="n">
        <f aca="false">IF(C25="Mall",1,0)</f>
        <v>0</v>
      </c>
      <c r="F25" s="4" t="n">
        <f aca="false">IF(C25="Residential",1,0)</f>
        <v>1</v>
      </c>
      <c r="G25" s="9" t="n">
        <f aca="false">Cleaned_Prepared_Data!M25</f>
        <v>415721.82</v>
      </c>
    </row>
    <row r="26" customFormat="false" ht="15" hidden="false" customHeight="true" outlineLevel="0" collapsed="false">
      <c r="A26" s="9" t="str">
        <f aca="false">Cleaned_Prepared_Data!A26</f>
        <v>STR-1006</v>
      </c>
      <c r="B26" s="10" t="n">
        <f aca="false">Cleaned_Prepared_Data!B26</f>
        <v>45689</v>
      </c>
      <c r="C26" s="9" t="str">
        <f aca="false">Cleaned_Prepared_Data!D26</f>
        <v>Residential</v>
      </c>
      <c r="D26" s="4" t="n">
        <f aca="false">IF(C26="Airport",1,0)</f>
        <v>0</v>
      </c>
      <c r="E26" s="4" t="n">
        <f aca="false">IF(C26="Mall",1,0)</f>
        <v>0</v>
      </c>
      <c r="F26" s="4" t="n">
        <f aca="false">IF(C26="Residential",1,0)</f>
        <v>1</v>
      </c>
      <c r="G26" s="9" t="n">
        <f aca="false">Cleaned_Prepared_Data!M26</f>
        <v>491905.13</v>
      </c>
    </row>
    <row r="27" customFormat="false" ht="15" hidden="false" customHeight="true" outlineLevel="0" collapsed="false">
      <c r="A27" s="9" t="str">
        <f aca="false">Cleaned_Prepared_Data!A27</f>
        <v>STR-1006</v>
      </c>
      <c r="B27" s="10" t="n">
        <f aca="false">Cleaned_Prepared_Data!B27</f>
        <v>45717</v>
      </c>
      <c r="C27" s="9" t="str">
        <f aca="false">Cleaned_Prepared_Data!D27</f>
        <v>Residential</v>
      </c>
      <c r="D27" s="4" t="n">
        <f aca="false">IF(C27="Airport",1,0)</f>
        <v>0</v>
      </c>
      <c r="E27" s="4" t="n">
        <f aca="false">IF(C27="Mall",1,0)</f>
        <v>0</v>
      </c>
      <c r="F27" s="4" t="n">
        <f aca="false">IF(C27="Residential",1,0)</f>
        <v>1</v>
      </c>
      <c r="G27" s="9" t="n">
        <f aca="false">Cleaned_Prepared_Data!M27</f>
        <v>555929.4</v>
      </c>
    </row>
    <row r="28" customFormat="false" ht="15" hidden="false" customHeight="true" outlineLevel="0" collapsed="false">
      <c r="A28" s="9" t="str">
        <f aca="false">Cleaned_Prepared_Data!A28</f>
        <v>STR-1006</v>
      </c>
      <c r="B28" s="10" t="n">
        <f aca="false">Cleaned_Prepared_Data!B28</f>
        <v>45748</v>
      </c>
      <c r="C28" s="9" t="str">
        <f aca="false">Cleaned_Prepared_Data!D28</f>
        <v>Residential</v>
      </c>
      <c r="D28" s="4" t="n">
        <f aca="false">IF(C28="Airport",1,0)</f>
        <v>0</v>
      </c>
      <c r="E28" s="4" t="n">
        <f aca="false">IF(C28="Mall",1,0)</f>
        <v>0</v>
      </c>
      <c r="F28" s="4" t="n">
        <f aca="false">IF(C28="Residential",1,0)</f>
        <v>1</v>
      </c>
      <c r="G28" s="9" t="n">
        <f aca="false">Cleaned_Prepared_Data!M28</f>
        <v>565810.99</v>
      </c>
    </row>
    <row r="29" customFormat="false" ht="15" hidden="false" customHeight="true" outlineLevel="0" collapsed="false">
      <c r="A29" s="9" t="str">
        <f aca="false">Cleaned_Prepared_Data!A29</f>
        <v>STR-1007</v>
      </c>
      <c r="B29" s="10" t="n">
        <f aca="false">Cleaned_Prepared_Data!B29</f>
        <v>45658</v>
      </c>
      <c r="C29" s="9" t="str">
        <f aca="false">Cleaned_Prepared_Data!D29</f>
        <v>Mall</v>
      </c>
      <c r="D29" s="4" t="n">
        <f aca="false">IF(C29="Airport",1,0)</f>
        <v>0</v>
      </c>
      <c r="E29" s="4" t="n">
        <f aca="false">IF(C29="Mall",1,0)</f>
        <v>1</v>
      </c>
      <c r="F29" s="4" t="n">
        <f aca="false">IF(C29="Residential",1,0)</f>
        <v>0</v>
      </c>
      <c r="G29" s="9" t="n">
        <f aca="false">Cleaned_Prepared_Data!M29</f>
        <v>811771.14</v>
      </c>
    </row>
    <row r="30" customFormat="false" ht="15" hidden="false" customHeight="true" outlineLevel="0" collapsed="false">
      <c r="A30" s="9" t="str">
        <f aca="false">Cleaned_Prepared_Data!A30</f>
        <v>STR-1007</v>
      </c>
      <c r="B30" s="10" t="n">
        <f aca="false">Cleaned_Prepared_Data!B30</f>
        <v>45689</v>
      </c>
      <c r="C30" s="9" t="str">
        <f aca="false">Cleaned_Prepared_Data!D30</f>
        <v>Mall</v>
      </c>
      <c r="D30" s="4" t="n">
        <f aca="false">IF(C30="Airport",1,0)</f>
        <v>0</v>
      </c>
      <c r="E30" s="4" t="n">
        <f aca="false">IF(C30="Mall",1,0)</f>
        <v>1</v>
      </c>
      <c r="F30" s="4" t="n">
        <f aca="false">IF(C30="Residential",1,0)</f>
        <v>0</v>
      </c>
      <c r="G30" s="9" t="n">
        <f aca="false">Cleaned_Prepared_Data!M30</f>
        <v>800451.94</v>
      </c>
    </row>
    <row r="31" customFormat="false" ht="15" hidden="false" customHeight="true" outlineLevel="0" collapsed="false">
      <c r="A31" s="9" t="str">
        <f aca="false">Cleaned_Prepared_Data!A31</f>
        <v>STR-1007</v>
      </c>
      <c r="B31" s="10" t="n">
        <f aca="false">Cleaned_Prepared_Data!B31</f>
        <v>45717</v>
      </c>
      <c r="C31" s="9" t="str">
        <f aca="false">Cleaned_Prepared_Data!D31</f>
        <v>Mall</v>
      </c>
      <c r="D31" s="4" t="n">
        <f aca="false">IF(C31="Airport",1,0)</f>
        <v>0</v>
      </c>
      <c r="E31" s="4" t="n">
        <f aca="false">IF(C31="Mall",1,0)</f>
        <v>1</v>
      </c>
      <c r="F31" s="4" t="n">
        <f aca="false">IF(C31="Residential",1,0)</f>
        <v>0</v>
      </c>
      <c r="G31" s="9" t="n">
        <f aca="false">Cleaned_Prepared_Data!M31</f>
        <v>783672.82</v>
      </c>
    </row>
    <row r="32" customFormat="false" ht="15" hidden="false" customHeight="true" outlineLevel="0" collapsed="false">
      <c r="A32" s="9" t="str">
        <f aca="false">Cleaned_Prepared_Data!A32</f>
        <v>STR-1007</v>
      </c>
      <c r="B32" s="10" t="n">
        <f aca="false">Cleaned_Prepared_Data!B32</f>
        <v>45748</v>
      </c>
      <c r="C32" s="9" t="str">
        <f aca="false">Cleaned_Prepared_Data!D32</f>
        <v>Mall</v>
      </c>
      <c r="D32" s="4" t="n">
        <f aca="false">IF(C32="Airport",1,0)</f>
        <v>0</v>
      </c>
      <c r="E32" s="4" t="n">
        <f aca="false">IF(C32="Mall",1,0)</f>
        <v>1</v>
      </c>
      <c r="F32" s="4" t="n">
        <f aca="false">IF(C32="Residential",1,0)</f>
        <v>0</v>
      </c>
      <c r="G32" s="9" t="n">
        <f aca="false">Cleaned_Prepared_Data!M32</f>
        <v>701641.97</v>
      </c>
    </row>
    <row r="33" customFormat="false" ht="15" hidden="false" customHeight="true" outlineLevel="0" collapsed="false">
      <c r="A33" s="9" t="str">
        <f aca="false">Cleaned_Prepared_Data!A33</f>
        <v>STR-1008</v>
      </c>
      <c r="B33" s="10" t="n">
        <f aca="false">Cleaned_Prepared_Data!B33</f>
        <v>45658</v>
      </c>
      <c r="C33" s="9" t="str">
        <f aca="false">Cleaned_Prepared_Data!D33</f>
        <v>Residential</v>
      </c>
      <c r="D33" s="4" t="n">
        <f aca="false">IF(C33="Airport",1,0)</f>
        <v>0</v>
      </c>
      <c r="E33" s="4" t="n">
        <f aca="false">IF(C33="Mall",1,0)</f>
        <v>0</v>
      </c>
      <c r="F33" s="4" t="n">
        <f aca="false">IF(C33="Residential",1,0)</f>
        <v>1</v>
      </c>
      <c r="G33" s="9" t="n">
        <f aca="false">Cleaned_Prepared_Data!M33</f>
        <v>511844.41</v>
      </c>
    </row>
    <row r="34" customFormat="false" ht="15" hidden="false" customHeight="true" outlineLevel="0" collapsed="false">
      <c r="A34" s="9" t="str">
        <f aca="false">Cleaned_Prepared_Data!A34</f>
        <v>STR-1008</v>
      </c>
      <c r="B34" s="10" t="n">
        <f aca="false">Cleaned_Prepared_Data!B34</f>
        <v>45689</v>
      </c>
      <c r="C34" s="9" t="str">
        <f aca="false">Cleaned_Prepared_Data!D34</f>
        <v>Residential</v>
      </c>
      <c r="D34" s="4" t="n">
        <f aca="false">IF(C34="Airport",1,0)</f>
        <v>0</v>
      </c>
      <c r="E34" s="4" t="n">
        <f aca="false">IF(C34="Mall",1,0)</f>
        <v>0</v>
      </c>
      <c r="F34" s="4" t="n">
        <f aca="false">IF(C34="Residential",1,0)</f>
        <v>1</v>
      </c>
      <c r="G34" s="9" t="n">
        <f aca="false">Cleaned_Prepared_Data!M34</f>
        <v>537383.79</v>
      </c>
    </row>
    <row r="35" customFormat="false" ht="15" hidden="false" customHeight="true" outlineLevel="0" collapsed="false">
      <c r="A35" s="9" t="str">
        <f aca="false">Cleaned_Prepared_Data!A35</f>
        <v>STR-1008</v>
      </c>
      <c r="B35" s="10" t="n">
        <f aca="false">Cleaned_Prepared_Data!B35</f>
        <v>45717</v>
      </c>
      <c r="C35" s="9" t="str">
        <f aca="false">Cleaned_Prepared_Data!D35</f>
        <v>Residential</v>
      </c>
      <c r="D35" s="4" t="n">
        <f aca="false">IF(C35="Airport",1,0)</f>
        <v>0</v>
      </c>
      <c r="E35" s="4" t="n">
        <f aca="false">IF(C35="Mall",1,0)</f>
        <v>0</v>
      </c>
      <c r="F35" s="4" t="n">
        <f aca="false">IF(C35="Residential",1,0)</f>
        <v>1</v>
      </c>
      <c r="G35" s="9" t="n">
        <f aca="false">Cleaned_Prepared_Data!M35</f>
        <v>500173.02</v>
      </c>
    </row>
    <row r="36" customFormat="false" ht="15" hidden="false" customHeight="true" outlineLevel="0" collapsed="false">
      <c r="A36" s="9" t="str">
        <f aca="false">Cleaned_Prepared_Data!A36</f>
        <v>STR-1008</v>
      </c>
      <c r="B36" s="10" t="n">
        <f aca="false">Cleaned_Prepared_Data!B36</f>
        <v>45748</v>
      </c>
      <c r="C36" s="9" t="str">
        <f aca="false">Cleaned_Prepared_Data!D36</f>
        <v>Residential</v>
      </c>
      <c r="D36" s="4" t="n">
        <f aca="false">IF(C36="Airport",1,0)</f>
        <v>0</v>
      </c>
      <c r="E36" s="4" t="n">
        <f aca="false">IF(C36="Mall",1,0)</f>
        <v>0</v>
      </c>
      <c r="F36" s="4" t="n">
        <f aca="false">IF(C36="Residential",1,0)</f>
        <v>1</v>
      </c>
      <c r="G36" s="9" t="n">
        <f aca="false">Cleaned_Prepared_Data!M36</f>
        <v>427917.38</v>
      </c>
    </row>
    <row r="37" customFormat="false" ht="15" hidden="false" customHeight="true" outlineLevel="0" collapsed="false">
      <c r="A37" s="9" t="str">
        <f aca="false">Cleaned_Prepared_Data!A37</f>
        <v>STR-1009</v>
      </c>
      <c r="B37" s="10" t="n">
        <f aca="false">Cleaned_Prepared_Data!B37</f>
        <v>45658</v>
      </c>
      <c r="C37" s="9" t="str">
        <f aca="false">Cleaned_Prepared_Data!D37</f>
        <v>Residential</v>
      </c>
      <c r="D37" s="4" t="n">
        <f aca="false">IF(C37="Airport",1,0)</f>
        <v>0</v>
      </c>
      <c r="E37" s="4" t="n">
        <f aca="false">IF(C37="Mall",1,0)</f>
        <v>0</v>
      </c>
      <c r="F37" s="4" t="n">
        <f aca="false">IF(C37="Residential",1,0)</f>
        <v>1</v>
      </c>
      <c r="G37" s="9" t="n">
        <f aca="false">Cleaned_Prepared_Data!M37</f>
        <v>641865.03</v>
      </c>
    </row>
    <row r="38" customFormat="false" ht="15" hidden="false" customHeight="true" outlineLevel="0" collapsed="false">
      <c r="A38" s="9" t="str">
        <f aca="false">Cleaned_Prepared_Data!A38</f>
        <v>STR-1009</v>
      </c>
      <c r="B38" s="10" t="n">
        <f aca="false">Cleaned_Prepared_Data!B38</f>
        <v>45717</v>
      </c>
      <c r="C38" s="9" t="str">
        <f aca="false">Cleaned_Prepared_Data!D38</f>
        <v>Residential</v>
      </c>
      <c r="D38" s="4" t="n">
        <f aca="false">IF(C38="Airport",1,0)</f>
        <v>0</v>
      </c>
      <c r="E38" s="4" t="n">
        <f aca="false">IF(C38="Mall",1,0)</f>
        <v>0</v>
      </c>
      <c r="F38" s="4" t="n">
        <f aca="false">IF(C38="Residential",1,0)</f>
        <v>1</v>
      </c>
      <c r="G38" s="9" t="n">
        <f aca="false">Cleaned_Prepared_Data!M38</f>
        <v>798952.17</v>
      </c>
    </row>
    <row r="39" customFormat="false" ht="15" hidden="false" customHeight="true" outlineLevel="0" collapsed="false">
      <c r="A39" s="9" t="str">
        <f aca="false">Cleaned_Prepared_Data!A39</f>
        <v>STR-1009</v>
      </c>
      <c r="B39" s="10" t="n">
        <f aca="false">Cleaned_Prepared_Data!B39</f>
        <v>45748</v>
      </c>
      <c r="C39" s="9" t="str">
        <f aca="false">Cleaned_Prepared_Data!D39</f>
        <v>Residential</v>
      </c>
      <c r="D39" s="4" t="n">
        <f aca="false">IF(C39="Airport",1,0)</f>
        <v>0</v>
      </c>
      <c r="E39" s="4" t="n">
        <f aca="false">IF(C39="Mall",1,0)</f>
        <v>0</v>
      </c>
      <c r="F39" s="4" t="n">
        <f aca="false">IF(C39="Residential",1,0)</f>
        <v>1</v>
      </c>
      <c r="G39" s="9" t="n">
        <f aca="false">Cleaned_Prepared_Data!M39</f>
        <v>800979.78</v>
      </c>
    </row>
    <row r="40" customFormat="false" ht="15" hidden="false" customHeight="true" outlineLevel="0" collapsed="false">
      <c r="A40" s="9" t="str">
        <f aca="false">Cleaned_Prepared_Data!A40</f>
        <v>STR-1010</v>
      </c>
      <c r="B40" s="10" t="n">
        <f aca="false">Cleaned_Prepared_Data!B40</f>
        <v>45658</v>
      </c>
      <c r="C40" s="9" t="str">
        <f aca="false">Cleaned_Prepared_Data!D40</f>
        <v>Mall</v>
      </c>
      <c r="D40" s="4" t="n">
        <f aca="false">IF(C40="Airport",1,0)</f>
        <v>0</v>
      </c>
      <c r="E40" s="4" t="n">
        <f aca="false">IF(C40="Mall",1,0)</f>
        <v>1</v>
      </c>
      <c r="F40" s="4" t="n">
        <f aca="false">IF(C40="Residential",1,0)</f>
        <v>0</v>
      </c>
      <c r="G40" s="9" t="n">
        <f aca="false">Cleaned_Prepared_Data!M40</f>
        <v>820593.93</v>
      </c>
    </row>
    <row r="41" customFormat="false" ht="15" hidden="false" customHeight="true" outlineLevel="0" collapsed="false">
      <c r="A41" s="9" t="str">
        <f aca="false">Cleaned_Prepared_Data!A41</f>
        <v>STR-1010</v>
      </c>
      <c r="B41" s="10" t="n">
        <f aca="false">Cleaned_Prepared_Data!B41</f>
        <v>45689</v>
      </c>
      <c r="C41" s="9" t="str">
        <f aca="false">Cleaned_Prepared_Data!D41</f>
        <v>Mall</v>
      </c>
      <c r="D41" s="4" t="n">
        <f aca="false">IF(C41="Airport",1,0)</f>
        <v>0</v>
      </c>
      <c r="E41" s="4" t="n">
        <f aca="false">IF(C41="Mall",1,0)</f>
        <v>1</v>
      </c>
      <c r="F41" s="4" t="n">
        <f aca="false">IF(C41="Residential",1,0)</f>
        <v>0</v>
      </c>
      <c r="G41" s="9" t="n">
        <f aca="false">Cleaned_Prepared_Data!M41</f>
        <v>718330.53</v>
      </c>
    </row>
    <row r="42" customFormat="false" ht="15" hidden="false" customHeight="true" outlineLevel="0" collapsed="false">
      <c r="A42" s="9" t="str">
        <f aca="false">Cleaned_Prepared_Data!A42</f>
        <v>STR-1010</v>
      </c>
      <c r="B42" s="10" t="n">
        <f aca="false">Cleaned_Prepared_Data!B42</f>
        <v>45717</v>
      </c>
      <c r="C42" s="9" t="str">
        <f aca="false">Cleaned_Prepared_Data!D42</f>
        <v>Mall</v>
      </c>
      <c r="D42" s="4" t="n">
        <f aca="false">IF(C42="Airport",1,0)</f>
        <v>0</v>
      </c>
      <c r="E42" s="4" t="n">
        <f aca="false">IF(C42="Mall",1,0)</f>
        <v>1</v>
      </c>
      <c r="F42" s="4" t="n">
        <f aca="false">IF(C42="Residential",1,0)</f>
        <v>0</v>
      </c>
      <c r="G42" s="9" t="n">
        <f aca="false">Cleaned_Prepared_Data!M42</f>
        <v>736633.4</v>
      </c>
    </row>
    <row r="43" customFormat="false" ht="15" hidden="false" customHeight="true" outlineLevel="0" collapsed="false">
      <c r="A43" s="9" t="str">
        <f aca="false">Cleaned_Prepared_Data!A43</f>
        <v>STR-1010</v>
      </c>
      <c r="B43" s="10" t="n">
        <f aca="false">Cleaned_Prepared_Data!B43</f>
        <v>45748</v>
      </c>
      <c r="C43" s="9" t="str">
        <f aca="false">Cleaned_Prepared_Data!D43</f>
        <v>Mall</v>
      </c>
      <c r="D43" s="4" t="n">
        <f aca="false">IF(C43="Airport",1,0)</f>
        <v>0</v>
      </c>
      <c r="E43" s="4" t="n">
        <f aca="false">IF(C43="Mall",1,0)</f>
        <v>1</v>
      </c>
      <c r="F43" s="4" t="n">
        <f aca="false">IF(C43="Residential",1,0)</f>
        <v>0</v>
      </c>
      <c r="G43" s="9" t="n">
        <f aca="false">Cleaned_Prepared_Data!M43</f>
        <v>828623.85</v>
      </c>
    </row>
    <row r="44" customFormat="false" ht="15" hidden="false" customHeight="true" outlineLevel="0" collapsed="false">
      <c r="A44" s="9" t="str">
        <f aca="false">Cleaned_Prepared_Data!A44</f>
        <v>STR-1011</v>
      </c>
      <c r="B44" s="10" t="n">
        <f aca="false">Cleaned_Prepared_Data!B44</f>
        <v>45658</v>
      </c>
      <c r="C44" s="9" t="str">
        <f aca="false">Cleaned_Prepared_Data!D44</f>
        <v>Mall</v>
      </c>
      <c r="D44" s="4" t="n">
        <f aca="false">IF(C44="Airport",1,0)</f>
        <v>0</v>
      </c>
      <c r="E44" s="4" t="n">
        <f aca="false">IF(C44="Mall",1,0)</f>
        <v>1</v>
      </c>
      <c r="F44" s="4" t="n">
        <f aca="false">IF(C44="Residential",1,0)</f>
        <v>0</v>
      </c>
      <c r="G44" s="9" t="n">
        <f aca="false">Cleaned_Prepared_Data!M44</f>
        <v>592195.85</v>
      </c>
    </row>
    <row r="45" customFormat="false" ht="15" hidden="false" customHeight="true" outlineLevel="0" collapsed="false">
      <c r="A45" s="9" t="str">
        <f aca="false">Cleaned_Prepared_Data!A45</f>
        <v>STR-1011</v>
      </c>
      <c r="B45" s="10" t="n">
        <f aca="false">Cleaned_Prepared_Data!B45</f>
        <v>45689</v>
      </c>
      <c r="C45" s="9" t="str">
        <f aca="false">Cleaned_Prepared_Data!D45</f>
        <v>Mall</v>
      </c>
      <c r="D45" s="4" t="n">
        <f aca="false">IF(C45="Airport",1,0)</f>
        <v>0</v>
      </c>
      <c r="E45" s="4" t="n">
        <f aca="false">IF(C45="Mall",1,0)</f>
        <v>1</v>
      </c>
      <c r="F45" s="4" t="n">
        <f aca="false">IF(C45="Residential",1,0)</f>
        <v>0</v>
      </c>
      <c r="G45" s="9" t="n">
        <f aca="false">Cleaned_Prepared_Data!M45</f>
        <v>532644.46</v>
      </c>
    </row>
    <row r="46" customFormat="false" ht="15" hidden="false" customHeight="true" outlineLevel="0" collapsed="false">
      <c r="A46" s="9" t="str">
        <f aca="false">Cleaned_Prepared_Data!A46</f>
        <v>STR-1011</v>
      </c>
      <c r="B46" s="10" t="n">
        <f aca="false">Cleaned_Prepared_Data!B46</f>
        <v>45717</v>
      </c>
      <c r="C46" s="9" t="str">
        <f aca="false">Cleaned_Prepared_Data!D46</f>
        <v>Mall</v>
      </c>
      <c r="D46" s="4" t="n">
        <f aca="false">IF(C46="Airport",1,0)</f>
        <v>0</v>
      </c>
      <c r="E46" s="4" t="n">
        <f aca="false">IF(C46="Mall",1,0)</f>
        <v>1</v>
      </c>
      <c r="F46" s="4" t="n">
        <f aca="false">IF(C46="Residential",1,0)</f>
        <v>0</v>
      </c>
      <c r="G46" s="9" t="n">
        <f aca="false">Cleaned_Prepared_Data!M46</f>
        <v>657429.18</v>
      </c>
    </row>
    <row r="47" customFormat="false" ht="15" hidden="false" customHeight="true" outlineLevel="0" collapsed="false">
      <c r="A47" s="9" t="str">
        <f aca="false">Cleaned_Prepared_Data!A47</f>
        <v>STR-1011</v>
      </c>
      <c r="B47" s="10" t="n">
        <f aca="false">Cleaned_Prepared_Data!B47</f>
        <v>45748</v>
      </c>
      <c r="C47" s="9" t="str">
        <f aca="false">Cleaned_Prepared_Data!D47</f>
        <v>Mall</v>
      </c>
      <c r="D47" s="4" t="n">
        <f aca="false">IF(C47="Airport",1,0)</f>
        <v>0</v>
      </c>
      <c r="E47" s="4" t="n">
        <f aca="false">IF(C47="Mall",1,0)</f>
        <v>1</v>
      </c>
      <c r="F47" s="4" t="n">
        <f aca="false">IF(C47="Residential",1,0)</f>
        <v>0</v>
      </c>
      <c r="G47" s="9" t="n">
        <f aca="false">Cleaned_Prepared_Data!M47</f>
        <v>605178</v>
      </c>
    </row>
    <row r="48" customFormat="false" ht="15" hidden="false" customHeight="true" outlineLevel="0" collapsed="false">
      <c r="A48" s="9" t="str">
        <f aca="false">Cleaned_Prepared_Data!A48</f>
        <v>STR-1012</v>
      </c>
      <c r="B48" s="10" t="n">
        <f aca="false">Cleaned_Prepared_Data!B48</f>
        <v>45658</v>
      </c>
      <c r="C48" s="9" t="str">
        <f aca="false">Cleaned_Prepared_Data!D48</f>
        <v>Residential</v>
      </c>
      <c r="D48" s="4" t="n">
        <f aca="false">IF(C48="Airport",1,0)</f>
        <v>0</v>
      </c>
      <c r="E48" s="4" t="n">
        <f aca="false">IF(C48="Mall",1,0)</f>
        <v>0</v>
      </c>
      <c r="F48" s="4" t="n">
        <f aca="false">IF(C48="Residential",1,0)</f>
        <v>1</v>
      </c>
      <c r="G48" s="9" t="n">
        <f aca="false">Cleaned_Prepared_Data!M48</f>
        <v>595467.6</v>
      </c>
    </row>
    <row r="49" customFormat="false" ht="15" hidden="false" customHeight="true" outlineLevel="0" collapsed="false">
      <c r="A49" s="9" t="str">
        <f aca="false">Cleaned_Prepared_Data!A49</f>
        <v>STR-1012</v>
      </c>
      <c r="B49" s="10" t="n">
        <f aca="false">Cleaned_Prepared_Data!B49</f>
        <v>45689</v>
      </c>
      <c r="C49" s="9" t="str">
        <f aca="false">Cleaned_Prepared_Data!D49</f>
        <v>Residential</v>
      </c>
      <c r="D49" s="4" t="n">
        <f aca="false">IF(C49="Airport",1,0)</f>
        <v>0</v>
      </c>
      <c r="E49" s="4" t="n">
        <f aca="false">IF(C49="Mall",1,0)</f>
        <v>0</v>
      </c>
      <c r="F49" s="4" t="n">
        <f aca="false">IF(C49="Residential",1,0)</f>
        <v>1</v>
      </c>
      <c r="G49" s="9" t="n">
        <f aca="false">Cleaned_Prepared_Data!M49</f>
        <v>599603.4</v>
      </c>
    </row>
    <row r="50" customFormat="false" ht="15" hidden="false" customHeight="true" outlineLevel="0" collapsed="false">
      <c r="A50" s="9" t="str">
        <f aca="false">Cleaned_Prepared_Data!A50</f>
        <v>STR-1012</v>
      </c>
      <c r="B50" s="10" t="n">
        <f aca="false">Cleaned_Prepared_Data!B50</f>
        <v>45717</v>
      </c>
      <c r="C50" s="9" t="str">
        <f aca="false">Cleaned_Prepared_Data!D50</f>
        <v>Residential</v>
      </c>
      <c r="D50" s="4" t="n">
        <f aca="false">IF(C50="Airport",1,0)</f>
        <v>0</v>
      </c>
      <c r="E50" s="4" t="n">
        <f aca="false">IF(C50="Mall",1,0)</f>
        <v>0</v>
      </c>
      <c r="F50" s="4" t="n">
        <f aca="false">IF(C50="Residential",1,0)</f>
        <v>1</v>
      </c>
      <c r="G50" s="9" t="n">
        <f aca="false">Cleaned_Prepared_Data!M50</f>
        <v>614800.09</v>
      </c>
    </row>
    <row r="51" customFormat="false" ht="15" hidden="false" customHeight="true" outlineLevel="0" collapsed="false">
      <c r="A51" s="9" t="str">
        <f aca="false">Cleaned_Prepared_Data!A51</f>
        <v>STR-1012</v>
      </c>
      <c r="B51" s="10" t="n">
        <f aca="false">Cleaned_Prepared_Data!B51</f>
        <v>45748</v>
      </c>
      <c r="C51" s="9" t="str">
        <f aca="false">Cleaned_Prepared_Data!D51</f>
        <v>Residential</v>
      </c>
      <c r="D51" s="4" t="n">
        <f aca="false">IF(C51="Airport",1,0)</f>
        <v>0</v>
      </c>
      <c r="E51" s="4" t="n">
        <f aca="false">IF(C51="Mall",1,0)</f>
        <v>0</v>
      </c>
      <c r="F51" s="4" t="n">
        <f aca="false">IF(C51="Residential",1,0)</f>
        <v>1</v>
      </c>
      <c r="G51" s="9" t="n">
        <f aca="false">Cleaned_Prepared_Data!M51</f>
        <v>585365.73</v>
      </c>
    </row>
    <row r="52" customFormat="false" ht="15" hidden="false" customHeight="true" outlineLevel="0" collapsed="false">
      <c r="A52" s="9" t="str">
        <f aca="false">Cleaned_Prepared_Data!A52</f>
        <v>STR-1013</v>
      </c>
      <c r="B52" s="10" t="n">
        <f aca="false">Cleaned_Prepared_Data!B52</f>
        <v>45658</v>
      </c>
      <c r="C52" s="9" t="str">
        <f aca="false">Cleaned_Prepared_Data!D52</f>
        <v>Mall</v>
      </c>
      <c r="D52" s="4" t="n">
        <f aca="false">IF(C52="Airport",1,0)</f>
        <v>0</v>
      </c>
      <c r="E52" s="4" t="n">
        <f aca="false">IF(C52="Mall",1,0)</f>
        <v>1</v>
      </c>
      <c r="F52" s="4" t="n">
        <f aca="false">IF(C52="Residential",1,0)</f>
        <v>0</v>
      </c>
      <c r="G52" s="9" t="n">
        <f aca="false">Cleaned_Prepared_Data!M52</f>
        <v>622811.74</v>
      </c>
    </row>
    <row r="53" customFormat="false" ht="15" hidden="false" customHeight="true" outlineLevel="0" collapsed="false">
      <c r="A53" s="9" t="str">
        <f aca="false">Cleaned_Prepared_Data!A53</f>
        <v>STR-1013</v>
      </c>
      <c r="B53" s="10" t="n">
        <f aca="false">Cleaned_Prepared_Data!B53</f>
        <v>45689</v>
      </c>
      <c r="C53" s="9" t="str">
        <f aca="false">Cleaned_Prepared_Data!D53</f>
        <v>Mall</v>
      </c>
      <c r="D53" s="4" t="n">
        <f aca="false">IF(C53="Airport",1,0)</f>
        <v>0</v>
      </c>
      <c r="E53" s="4" t="n">
        <f aca="false">IF(C53="Mall",1,0)</f>
        <v>1</v>
      </c>
      <c r="F53" s="4" t="n">
        <f aca="false">IF(C53="Residential",1,0)</f>
        <v>0</v>
      </c>
      <c r="G53" s="9" t="n">
        <f aca="false">Cleaned_Prepared_Data!M53</f>
        <v>603297.57</v>
      </c>
    </row>
    <row r="54" customFormat="false" ht="15" hidden="false" customHeight="true" outlineLevel="0" collapsed="false">
      <c r="A54" s="9" t="str">
        <f aca="false">Cleaned_Prepared_Data!A54</f>
        <v>STR-1013</v>
      </c>
      <c r="B54" s="10" t="n">
        <f aca="false">Cleaned_Prepared_Data!B54</f>
        <v>45717</v>
      </c>
      <c r="C54" s="9" t="str">
        <f aca="false">Cleaned_Prepared_Data!D54</f>
        <v>Mall</v>
      </c>
      <c r="D54" s="4" t="n">
        <f aca="false">IF(C54="Airport",1,0)</f>
        <v>0</v>
      </c>
      <c r="E54" s="4" t="n">
        <f aca="false">IF(C54="Mall",1,0)</f>
        <v>1</v>
      </c>
      <c r="F54" s="4" t="n">
        <f aca="false">IF(C54="Residential",1,0)</f>
        <v>0</v>
      </c>
      <c r="G54" s="9" t="n">
        <f aca="false">Cleaned_Prepared_Data!M54</f>
        <v>625672.86</v>
      </c>
    </row>
    <row r="55" customFormat="false" ht="15" hidden="false" customHeight="true" outlineLevel="0" collapsed="false">
      <c r="A55" s="9" t="str">
        <f aca="false">Cleaned_Prepared_Data!A55</f>
        <v>STR-1013</v>
      </c>
      <c r="B55" s="10" t="n">
        <f aca="false">Cleaned_Prepared_Data!B55</f>
        <v>45748</v>
      </c>
      <c r="C55" s="9" t="str">
        <f aca="false">Cleaned_Prepared_Data!D55</f>
        <v>Mall</v>
      </c>
      <c r="D55" s="4" t="n">
        <f aca="false">IF(C55="Airport",1,0)</f>
        <v>0</v>
      </c>
      <c r="E55" s="4" t="n">
        <f aca="false">IF(C55="Mall",1,0)</f>
        <v>1</v>
      </c>
      <c r="F55" s="4" t="n">
        <f aca="false">IF(C55="Residential",1,0)</f>
        <v>0</v>
      </c>
      <c r="G55" s="9" t="n">
        <f aca="false">Cleaned_Prepared_Data!M55</f>
        <v>773815.14</v>
      </c>
    </row>
    <row r="56" customFormat="false" ht="15" hidden="false" customHeight="true" outlineLevel="0" collapsed="false">
      <c r="A56" s="9" t="str">
        <f aca="false">Cleaned_Prepared_Data!A56</f>
        <v>STR-1014</v>
      </c>
      <c r="B56" s="10" t="n">
        <f aca="false">Cleaned_Prepared_Data!B56</f>
        <v>45658</v>
      </c>
      <c r="C56" s="9" t="str">
        <f aca="false">Cleaned_Prepared_Data!D56</f>
        <v>High Street</v>
      </c>
      <c r="D56" s="4" t="n">
        <f aca="false">IF(C56="Airport",1,0)</f>
        <v>0</v>
      </c>
      <c r="E56" s="4" t="n">
        <f aca="false">IF(C56="Mall",1,0)</f>
        <v>0</v>
      </c>
      <c r="F56" s="4" t="n">
        <f aca="false">IF(C56="Residential",1,0)</f>
        <v>0</v>
      </c>
      <c r="G56" s="9" t="n">
        <f aca="false">Cleaned_Prepared_Data!M56</f>
        <v>463534.25</v>
      </c>
    </row>
    <row r="57" customFormat="false" ht="15" hidden="false" customHeight="true" outlineLevel="0" collapsed="false">
      <c r="A57" s="9" t="str">
        <f aca="false">Cleaned_Prepared_Data!A57</f>
        <v>STR-1014</v>
      </c>
      <c r="B57" s="10" t="n">
        <f aca="false">Cleaned_Prepared_Data!B57</f>
        <v>45689</v>
      </c>
      <c r="C57" s="9" t="str">
        <f aca="false">Cleaned_Prepared_Data!D57</f>
        <v>High Street</v>
      </c>
      <c r="D57" s="4" t="n">
        <f aca="false">IF(C57="Airport",1,0)</f>
        <v>0</v>
      </c>
      <c r="E57" s="4" t="n">
        <f aca="false">IF(C57="Mall",1,0)</f>
        <v>0</v>
      </c>
      <c r="F57" s="4" t="n">
        <f aca="false">IF(C57="Residential",1,0)</f>
        <v>0</v>
      </c>
      <c r="G57" s="9" t="n">
        <f aca="false">Cleaned_Prepared_Data!M57</f>
        <v>746677.75</v>
      </c>
    </row>
    <row r="58" customFormat="false" ht="15" hidden="false" customHeight="true" outlineLevel="0" collapsed="false">
      <c r="A58" s="9" t="str">
        <f aca="false">Cleaned_Prepared_Data!A58</f>
        <v>STR-1014</v>
      </c>
      <c r="B58" s="10" t="n">
        <f aca="false">Cleaned_Prepared_Data!B58</f>
        <v>45717</v>
      </c>
      <c r="C58" s="9" t="str">
        <f aca="false">Cleaned_Prepared_Data!D58</f>
        <v>High Street</v>
      </c>
      <c r="D58" s="4" t="n">
        <f aca="false">IF(C58="Airport",1,0)</f>
        <v>0</v>
      </c>
      <c r="E58" s="4" t="n">
        <f aca="false">IF(C58="Mall",1,0)</f>
        <v>0</v>
      </c>
      <c r="F58" s="4" t="n">
        <f aca="false">IF(C58="Residential",1,0)</f>
        <v>0</v>
      </c>
      <c r="G58" s="9" t="n">
        <f aca="false">Cleaned_Prepared_Data!M58</f>
        <v>720852.5</v>
      </c>
    </row>
    <row r="59" customFormat="false" ht="15" hidden="false" customHeight="true" outlineLevel="0" collapsed="false">
      <c r="A59" s="9" t="str">
        <f aca="false">Cleaned_Prepared_Data!A59</f>
        <v>STR-1014</v>
      </c>
      <c r="B59" s="10" t="n">
        <f aca="false">Cleaned_Prepared_Data!B59</f>
        <v>45748</v>
      </c>
      <c r="C59" s="9" t="str">
        <f aca="false">Cleaned_Prepared_Data!D59</f>
        <v>High Street</v>
      </c>
      <c r="D59" s="4" t="n">
        <f aca="false">IF(C59="Airport",1,0)</f>
        <v>0</v>
      </c>
      <c r="E59" s="4" t="n">
        <f aca="false">IF(C59="Mall",1,0)</f>
        <v>0</v>
      </c>
      <c r="F59" s="4" t="n">
        <f aca="false">IF(C59="Residential",1,0)</f>
        <v>0</v>
      </c>
      <c r="G59" s="9" t="n">
        <f aca="false">Cleaned_Prepared_Data!M59</f>
        <v>487464.91</v>
      </c>
    </row>
    <row r="60" customFormat="false" ht="15" hidden="false" customHeight="true" outlineLevel="0" collapsed="false">
      <c r="A60" s="9" t="str">
        <f aca="false">Cleaned_Prepared_Data!A60</f>
        <v>STR-1015</v>
      </c>
      <c r="B60" s="10" t="n">
        <f aca="false">Cleaned_Prepared_Data!B60</f>
        <v>45658</v>
      </c>
      <c r="C60" s="9" t="str">
        <f aca="false">Cleaned_Prepared_Data!D60</f>
        <v>Airport</v>
      </c>
      <c r="D60" s="4" t="n">
        <f aca="false">IF(C60="Airport",1,0)</f>
        <v>1</v>
      </c>
      <c r="E60" s="4" t="n">
        <f aca="false">IF(C60="Mall",1,0)</f>
        <v>0</v>
      </c>
      <c r="F60" s="4" t="n">
        <f aca="false">IF(C60="Residential",1,0)</f>
        <v>0</v>
      </c>
      <c r="G60" s="9" t="n">
        <f aca="false">Cleaned_Prepared_Data!M60</f>
        <v>518049.26</v>
      </c>
    </row>
    <row r="61" customFormat="false" ht="15" hidden="false" customHeight="true" outlineLevel="0" collapsed="false">
      <c r="A61" s="9" t="str">
        <f aca="false">Cleaned_Prepared_Data!A61</f>
        <v>STR-1015</v>
      </c>
      <c r="B61" s="10" t="n">
        <f aca="false">Cleaned_Prepared_Data!B61</f>
        <v>45689</v>
      </c>
      <c r="C61" s="9" t="str">
        <f aca="false">Cleaned_Prepared_Data!D61</f>
        <v>Airport</v>
      </c>
      <c r="D61" s="4" t="n">
        <f aca="false">IF(C61="Airport",1,0)</f>
        <v>1</v>
      </c>
      <c r="E61" s="4" t="n">
        <f aca="false">IF(C61="Mall",1,0)</f>
        <v>0</v>
      </c>
      <c r="F61" s="4" t="n">
        <f aca="false">IF(C61="Residential",1,0)</f>
        <v>0</v>
      </c>
      <c r="G61" s="9" t="n">
        <f aca="false">Cleaned_Prepared_Data!M61</f>
        <v>500298.48</v>
      </c>
    </row>
    <row r="62" customFormat="false" ht="15" hidden="false" customHeight="true" outlineLevel="0" collapsed="false">
      <c r="A62" s="9" t="str">
        <f aca="false">Cleaned_Prepared_Data!A62</f>
        <v>STR-1015</v>
      </c>
      <c r="B62" s="10" t="n">
        <f aca="false">Cleaned_Prepared_Data!B62</f>
        <v>45717</v>
      </c>
      <c r="C62" s="9" t="str">
        <f aca="false">Cleaned_Prepared_Data!D62</f>
        <v>Airport</v>
      </c>
      <c r="D62" s="4" t="n">
        <f aca="false">IF(C62="Airport",1,0)</f>
        <v>1</v>
      </c>
      <c r="E62" s="4" t="n">
        <f aca="false">IF(C62="Mall",1,0)</f>
        <v>0</v>
      </c>
      <c r="F62" s="4" t="n">
        <f aca="false">IF(C62="Residential",1,0)</f>
        <v>0</v>
      </c>
      <c r="G62" s="9" t="n">
        <f aca="false">Cleaned_Prepared_Data!M62</f>
        <v>617291.15</v>
      </c>
    </row>
    <row r="63" customFormat="false" ht="15" hidden="false" customHeight="true" outlineLevel="0" collapsed="false">
      <c r="A63" s="9" t="str">
        <f aca="false">Cleaned_Prepared_Data!A63</f>
        <v>STR-1015</v>
      </c>
      <c r="B63" s="10" t="n">
        <f aca="false">Cleaned_Prepared_Data!B63</f>
        <v>45748</v>
      </c>
      <c r="C63" s="9" t="str">
        <f aca="false">Cleaned_Prepared_Data!D63</f>
        <v>Airport</v>
      </c>
      <c r="D63" s="4" t="n">
        <f aca="false">IF(C63="Airport",1,0)</f>
        <v>1</v>
      </c>
      <c r="E63" s="4" t="n">
        <f aca="false">IF(C63="Mall",1,0)</f>
        <v>0</v>
      </c>
      <c r="F63" s="4" t="n">
        <f aca="false">IF(C63="Residential",1,0)</f>
        <v>0</v>
      </c>
      <c r="G63" s="9" t="n">
        <f aca="false">Cleaned_Prepared_Data!M63</f>
        <v>553756.43</v>
      </c>
    </row>
    <row r="64" customFormat="false" ht="15" hidden="false" customHeight="true" outlineLevel="0" collapsed="false">
      <c r="A64" s="9" t="str">
        <f aca="false">Cleaned_Prepared_Data!A64</f>
        <v>STR-1016</v>
      </c>
      <c r="B64" s="10" t="n">
        <f aca="false">Cleaned_Prepared_Data!B64</f>
        <v>45658</v>
      </c>
      <c r="C64" s="9" t="str">
        <f aca="false">Cleaned_Prepared_Data!D64</f>
        <v>High Street</v>
      </c>
      <c r="D64" s="4" t="n">
        <f aca="false">IF(C64="Airport",1,0)</f>
        <v>0</v>
      </c>
      <c r="E64" s="4" t="n">
        <f aca="false">IF(C64="Mall",1,0)</f>
        <v>0</v>
      </c>
      <c r="F64" s="4" t="n">
        <f aca="false">IF(C64="Residential",1,0)</f>
        <v>0</v>
      </c>
      <c r="G64" s="9" t="n">
        <f aca="false">Cleaned_Prepared_Data!M64</f>
        <v>749559.71</v>
      </c>
    </row>
    <row r="65" customFormat="false" ht="15" hidden="false" customHeight="true" outlineLevel="0" collapsed="false">
      <c r="A65" s="9" t="str">
        <f aca="false">Cleaned_Prepared_Data!A65</f>
        <v>STR-1016</v>
      </c>
      <c r="B65" s="10" t="n">
        <f aca="false">Cleaned_Prepared_Data!B65</f>
        <v>45689</v>
      </c>
      <c r="C65" s="9" t="str">
        <f aca="false">Cleaned_Prepared_Data!D65</f>
        <v>High Street</v>
      </c>
      <c r="D65" s="4" t="n">
        <f aca="false">IF(C65="Airport",1,0)</f>
        <v>0</v>
      </c>
      <c r="E65" s="4" t="n">
        <f aca="false">IF(C65="Mall",1,0)</f>
        <v>0</v>
      </c>
      <c r="F65" s="4" t="n">
        <f aca="false">IF(C65="Residential",1,0)</f>
        <v>0</v>
      </c>
      <c r="G65" s="9" t="n">
        <f aca="false">Cleaned_Prepared_Data!M65</f>
        <v>615966.48</v>
      </c>
    </row>
    <row r="66" customFormat="false" ht="15" hidden="false" customHeight="true" outlineLevel="0" collapsed="false">
      <c r="A66" s="9" t="str">
        <f aca="false">Cleaned_Prepared_Data!A66</f>
        <v>STR-1016</v>
      </c>
      <c r="B66" s="10" t="n">
        <f aca="false">Cleaned_Prepared_Data!B66</f>
        <v>45717</v>
      </c>
      <c r="C66" s="9" t="str">
        <f aca="false">Cleaned_Prepared_Data!D66</f>
        <v>High Street</v>
      </c>
      <c r="D66" s="4" t="n">
        <f aca="false">IF(C66="Airport",1,0)</f>
        <v>0</v>
      </c>
      <c r="E66" s="4" t="n">
        <f aca="false">IF(C66="Mall",1,0)</f>
        <v>0</v>
      </c>
      <c r="F66" s="4" t="n">
        <f aca="false">IF(C66="Residential",1,0)</f>
        <v>0</v>
      </c>
      <c r="G66" s="9" t="n">
        <f aca="false">Cleaned_Prepared_Data!M66</f>
        <v>572011.2</v>
      </c>
    </row>
    <row r="67" customFormat="false" ht="15" hidden="false" customHeight="true" outlineLevel="0" collapsed="false">
      <c r="A67" s="9" t="str">
        <f aca="false">Cleaned_Prepared_Data!A67</f>
        <v>STR-1016</v>
      </c>
      <c r="B67" s="10" t="n">
        <f aca="false">Cleaned_Prepared_Data!B67</f>
        <v>45748</v>
      </c>
      <c r="C67" s="9" t="str">
        <f aca="false">Cleaned_Prepared_Data!D67</f>
        <v>High Street</v>
      </c>
      <c r="D67" s="4" t="n">
        <f aca="false">IF(C67="Airport",1,0)</f>
        <v>0</v>
      </c>
      <c r="E67" s="4" t="n">
        <f aca="false">IF(C67="Mall",1,0)</f>
        <v>0</v>
      </c>
      <c r="F67" s="4" t="n">
        <f aca="false">IF(C67="Residential",1,0)</f>
        <v>0</v>
      </c>
      <c r="G67" s="9" t="n">
        <f aca="false">Cleaned_Prepared_Data!M67</f>
        <v>761860.19</v>
      </c>
    </row>
    <row r="68" customFormat="false" ht="15" hidden="false" customHeight="true" outlineLevel="0" collapsed="false">
      <c r="A68" s="9" t="str">
        <f aca="false">Cleaned_Prepared_Data!A68</f>
        <v>STR-1017</v>
      </c>
      <c r="B68" s="10" t="n">
        <f aca="false">Cleaned_Prepared_Data!B68</f>
        <v>45658</v>
      </c>
      <c r="C68" s="9" t="str">
        <f aca="false">Cleaned_Prepared_Data!D68</f>
        <v>High Street</v>
      </c>
      <c r="D68" s="4" t="n">
        <f aca="false">IF(C68="Airport",1,0)</f>
        <v>0</v>
      </c>
      <c r="E68" s="4" t="n">
        <f aca="false">IF(C68="Mall",1,0)</f>
        <v>0</v>
      </c>
      <c r="F68" s="4" t="n">
        <f aca="false">IF(C68="Residential",1,0)</f>
        <v>0</v>
      </c>
      <c r="G68" s="9" t="n">
        <f aca="false">Cleaned_Prepared_Data!M68</f>
        <v>784502.68</v>
      </c>
    </row>
    <row r="69" customFormat="false" ht="15" hidden="false" customHeight="true" outlineLevel="0" collapsed="false">
      <c r="A69" s="9" t="str">
        <f aca="false">Cleaned_Prepared_Data!A69</f>
        <v>STR-1017</v>
      </c>
      <c r="B69" s="10" t="n">
        <f aca="false">Cleaned_Prepared_Data!B69</f>
        <v>45689</v>
      </c>
      <c r="C69" s="9" t="str">
        <f aca="false">Cleaned_Prepared_Data!D69</f>
        <v>High Street</v>
      </c>
      <c r="D69" s="4" t="n">
        <f aca="false">IF(C69="Airport",1,0)</f>
        <v>0</v>
      </c>
      <c r="E69" s="4" t="n">
        <f aca="false">IF(C69="Mall",1,0)</f>
        <v>0</v>
      </c>
      <c r="F69" s="4" t="n">
        <f aca="false">IF(C69="Residential",1,0)</f>
        <v>0</v>
      </c>
      <c r="G69" s="9" t="n">
        <f aca="false">Cleaned_Prepared_Data!M69</f>
        <v>717141.55</v>
      </c>
    </row>
    <row r="70" customFormat="false" ht="15" hidden="false" customHeight="true" outlineLevel="0" collapsed="false">
      <c r="A70" s="9" t="str">
        <f aca="false">Cleaned_Prepared_Data!A70</f>
        <v>STR-1017</v>
      </c>
      <c r="B70" s="10" t="n">
        <f aca="false">Cleaned_Prepared_Data!B70</f>
        <v>45717</v>
      </c>
      <c r="C70" s="9" t="str">
        <f aca="false">Cleaned_Prepared_Data!D70</f>
        <v>High Street</v>
      </c>
      <c r="D70" s="4" t="n">
        <f aca="false">IF(C70="Airport",1,0)</f>
        <v>0</v>
      </c>
      <c r="E70" s="4" t="n">
        <f aca="false">IF(C70="Mall",1,0)</f>
        <v>0</v>
      </c>
      <c r="F70" s="4" t="n">
        <f aca="false">IF(C70="Residential",1,0)</f>
        <v>0</v>
      </c>
      <c r="G70" s="9" t="n">
        <f aca="false">Cleaned_Prepared_Data!M70</f>
        <v>685379.08</v>
      </c>
    </row>
    <row r="71" customFormat="false" ht="15" hidden="false" customHeight="true" outlineLevel="0" collapsed="false">
      <c r="A71" s="9" t="str">
        <f aca="false">Cleaned_Prepared_Data!A71</f>
        <v>STR-1017</v>
      </c>
      <c r="B71" s="10" t="n">
        <f aca="false">Cleaned_Prepared_Data!B71</f>
        <v>45748</v>
      </c>
      <c r="C71" s="9" t="str">
        <f aca="false">Cleaned_Prepared_Data!D71</f>
        <v>High Street</v>
      </c>
      <c r="D71" s="4" t="n">
        <f aca="false">IF(C71="Airport",1,0)</f>
        <v>0</v>
      </c>
      <c r="E71" s="4" t="n">
        <f aca="false">IF(C71="Mall",1,0)</f>
        <v>0</v>
      </c>
      <c r="F71" s="4" t="n">
        <f aca="false">IF(C71="Residential",1,0)</f>
        <v>0</v>
      </c>
      <c r="G71" s="9" t="n">
        <f aca="false">Cleaned_Prepared_Data!M71</f>
        <v>740496.65</v>
      </c>
    </row>
    <row r="72" customFormat="false" ht="15" hidden="false" customHeight="true" outlineLevel="0" collapsed="false">
      <c r="A72" s="9" t="str">
        <f aca="false">Cleaned_Prepared_Data!A72</f>
        <v>STR-1018</v>
      </c>
      <c r="B72" s="10" t="n">
        <f aca="false">Cleaned_Prepared_Data!B72</f>
        <v>45658</v>
      </c>
      <c r="C72" s="9" t="str">
        <f aca="false">Cleaned_Prepared_Data!D72</f>
        <v>High Street</v>
      </c>
      <c r="D72" s="4" t="n">
        <f aca="false">IF(C72="Airport",1,0)</f>
        <v>0</v>
      </c>
      <c r="E72" s="4" t="n">
        <f aca="false">IF(C72="Mall",1,0)</f>
        <v>0</v>
      </c>
      <c r="F72" s="4" t="n">
        <f aca="false">IF(C72="Residential",1,0)</f>
        <v>0</v>
      </c>
      <c r="G72" s="9" t="n">
        <f aca="false">Cleaned_Prepared_Data!M72</f>
        <v>661927.14</v>
      </c>
    </row>
    <row r="73" customFormat="false" ht="15" hidden="false" customHeight="true" outlineLevel="0" collapsed="false">
      <c r="A73" s="9" t="str">
        <f aca="false">Cleaned_Prepared_Data!A73</f>
        <v>STR-1018</v>
      </c>
      <c r="B73" s="10" t="n">
        <f aca="false">Cleaned_Prepared_Data!B73</f>
        <v>45689</v>
      </c>
      <c r="C73" s="9" t="str">
        <f aca="false">Cleaned_Prepared_Data!D73</f>
        <v>High Street</v>
      </c>
      <c r="D73" s="4" t="n">
        <f aca="false">IF(C73="Airport",1,0)</f>
        <v>0</v>
      </c>
      <c r="E73" s="4" t="n">
        <f aca="false">IF(C73="Mall",1,0)</f>
        <v>0</v>
      </c>
      <c r="F73" s="4" t="n">
        <f aca="false">IF(C73="Residential",1,0)</f>
        <v>0</v>
      </c>
      <c r="G73" s="9" t="n">
        <f aca="false">Cleaned_Prepared_Data!M73</f>
        <v>479050.5</v>
      </c>
    </row>
    <row r="74" customFormat="false" ht="15" hidden="false" customHeight="true" outlineLevel="0" collapsed="false">
      <c r="A74" s="9" t="str">
        <f aca="false">Cleaned_Prepared_Data!A74</f>
        <v>STR-1018</v>
      </c>
      <c r="B74" s="10" t="n">
        <f aca="false">Cleaned_Prepared_Data!B74</f>
        <v>45717</v>
      </c>
      <c r="C74" s="9" t="str">
        <f aca="false">Cleaned_Prepared_Data!D74</f>
        <v>High Street</v>
      </c>
      <c r="D74" s="4" t="n">
        <f aca="false">IF(C74="Airport",1,0)</f>
        <v>0</v>
      </c>
      <c r="E74" s="4" t="n">
        <f aca="false">IF(C74="Mall",1,0)</f>
        <v>0</v>
      </c>
      <c r="F74" s="4" t="n">
        <f aca="false">IF(C74="Residential",1,0)</f>
        <v>0</v>
      </c>
      <c r="G74" s="9" t="n">
        <f aca="false">Cleaned_Prepared_Data!M74</f>
        <v>605023.87</v>
      </c>
    </row>
    <row r="75" customFormat="false" ht="15" hidden="false" customHeight="true" outlineLevel="0" collapsed="false">
      <c r="A75" s="9" t="str">
        <f aca="false">Cleaned_Prepared_Data!A75</f>
        <v>STR-1019</v>
      </c>
      <c r="B75" s="10" t="n">
        <f aca="false">Cleaned_Prepared_Data!B75</f>
        <v>45658</v>
      </c>
      <c r="C75" s="9" t="str">
        <f aca="false">Cleaned_Prepared_Data!D75</f>
        <v>Residential</v>
      </c>
      <c r="D75" s="4" t="n">
        <f aca="false">IF(C75="Airport",1,0)</f>
        <v>0</v>
      </c>
      <c r="E75" s="4" t="n">
        <f aca="false">IF(C75="Mall",1,0)</f>
        <v>0</v>
      </c>
      <c r="F75" s="4" t="n">
        <f aca="false">IF(C75="Residential",1,0)</f>
        <v>1</v>
      </c>
      <c r="G75" s="9" t="n">
        <f aca="false">Cleaned_Prepared_Data!M75</f>
        <v>616069.41</v>
      </c>
    </row>
    <row r="76" customFormat="false" ht="15" hidden="false" customHeight="true" outlineLevel="0" collapsed="false">
      <c r="A76" s="9" t="str">
        <f aca="false">Cleaned_Prepared_Data!A76</f>
        <v>STR-1019</v>
      </c>
      <c r="B76" s="10" t="n">
        <f aca="false">Cleaned_Prepared_Data!B76</f>
        <v>45689</v>
      </c>
      <c r="C76" s="9" t="str">
        <f aca="false">Cleaned_Prepared_Data!D76</f>
        <v>Residential</v>
      </c>
      <c r="D76" s="4" t="n">
        <f aca="false">IF(C76="Airport",1,0)</f>
        <v>0</v>
      </c>
      <c r="E76" s="4" t="n">
        <f aca="false">IF(C76="Mall",1,0)</f>
        <v>0</v>
      </c>
      <c r="F76" s="4" t="n">
        <f aca="false">IF(C76="Residential",1,0)</f>
        <v>1</v>
      </c>
      <c r="G76" s="9" t="n">
        <f aca="false">Cleaned_Prepared_Data!M76</f>
        <v>630829.94</v>
      </c>
    </row>
    <row r="77" customFormat="false" ht="15" hidden="false" customHeight="true" outlineLevel="0" collapsed="false">
      <c r="A77" s="9" t="str">
        <f aca="false">Cleaned_Prepared_Data!A77</f>
        <v>STR-1019</v>
      </c>
      <c r="B77" s="10" t="n">
        <f aca="false">Cleaned_Prepared_Data!B77</f>
        <v>45717</v>
      </c>
      <c r="C77" s="9" t="str">
        <f aca="false">Cleaned_Prepared_Data!D77</f>
        <v>Residential</v>
      </c>
      <c r="D77" s="4" t="n">
        <f aca="false">IF(C77="Airport",1,0)</f>
        <v>0</v>
      </c>
      <c r="E77" s="4" t="n">
        <f aca="false">IF(C77="Mall",1,0)</f>
        <v>0</v>
      </c>
      <c r="F77" s="4" t="n">
        <f aca="false">IF(C77="Residential",1,0)</f>
        <v>1</v>
      </c>
      <c r="G77" s="9" t="n">
        <f aca="false">Cleaned_Prepared_Data!M77</f>
        <v>788087.68</v>
      </c>
    </row>
    <row r="78" customFormat="false" ht="15" hidden="false" customHeight="true" outlineLevel="0" collapsed="false">
      <c r="A78" s="9" t="str">
        <f aca="false">Cleaned_Prepared_Data!A78</f>
        <v>STR-1019</v>
      </c>
      <c r="B78" s="10" t="n">
        <f aca="false">Cleaned_Prepared_Data!B78</f>
        <v>45748</v>
      </c>
      <c r="C78" s="9" t="str">
        <f aca="false">Cleaned_Prepared_Data!D78</f>
        <v>Residential</v>
      </c>
      <c r="D78" s="4" t="n">
        <f aca="false">IF(C78="Airport",1,0)</f>
        <v>0</v>
      </c>
      <c r="E78" s="4" t="n">
        <f aca="false">IF(C78="Mall",1,0)</f>
        <v>0</v>
      </c>
      <c r="F78" s="4" t="n">
        <f aca="false">IF(C78="Residential",1,0)</f>
        <v>1</v>
      </c>
      <c r="G78" s="9" t="n">
        <f aca="false">Cleaned_Prepared_Data!M78</f>
        <v>680840.36</v>
      </c>
    </row>
    <row r="79" customFormat="false" ht="15" hidden="false" customHeight="true" outlineLevel="0" collapsed="false">
      <c r="A79" s="9" t="str">
        <f aca="false">Cleaned_Prepared_Data!A79</f>
        <v>STR-1020</v>
      </c>
      <c r="B79" s="10" t="n">
        <f aca="false">Cleaned_Prepared_Data!B79</f>
        <v>45658</v>
      </c>
      <c r="C79" s="9" t="str">
        <f aca="false">Cleaned_Prepared_Data!D79</f>
        <v>High Street</v>
      </c>
      <c r="D79" s="4" t="n">
        <f aca="false">IF(C79="Airport",1,0)</f>
        <v>0</v>
      </c>
      <c r="E79" s="4" t="n">
        <f aca="false">IF(C79="Mall",1,0)</f>
        <v>0</v>
      </c>
      <c r="F79" s="4" t="n">
        <f aca="false">IF(C79="Residential",1,0)</f>
        <v>0</v>
      </c>
      <c r="G79" s="9" t="n">
        <f aca="false">Cleaned_Prepared_Data!M79</f>
        <v>643657.47</v>
      </c>
    </row>
    <row r="80" customFormat="false" ht="15" hidden="false" customHeight="true" outlineLevel="0" collapsed="false">
      <c r="A80" s="9" t="str">
        <f aca="false">Cleaned_Prepared_Data!A80</f>
        <v>STR-1020</v>
      </c>
      <c r="B80" s="10" t="n">
        <f aca="false">Cleaned_Prepared_Data!B80</f>
        <v>45689</v>
      </c>
      <c r="C80" s="9" t="str">
        <f aca="false">Cleaned_Prepared_Data!D80</f>
        <v>High Street</v>
      </c>
      <c r="D80" s="4" t="n">
        <f aca="false">IF(C80="Airport",1,0)</f>
        <v>0</v>
      </c>
      <c r="E80" s="4" t="n">
        <f aca="false">IF(C80="Mall",1,0)</f>
        <v>0</v>
      </c>
      <c r="F80" s="4" t="n">
        <f aca="false">IF(C80="Residential",1,0)</f>
        <v>0</v>
      </c>
      <c r="G80" s="9" t="n">
        <f aca="false">Cleaned_Prepared_Data!M80</f>
        <v>691112.6</v>
      </c>
    </row>
    <row r="81" customFormat="false" ht="15" hidden="false" customHeight="true" outlineLevel="0" collapsed="false">
      <c r="A81" s="9" t="str">
        <f aca="false">Cleaned_Prepared_Data!A81</f>
        <v>STR-1020</v>
      </c>
      <c r="B81" s="10" t="n">
        <f aca="false">Cleaned_Prepared_Data!B81</f>
        <v>45717</v>
      </c>
      <c r="C81" s="9" t="str">
        <f aca="false">Cleaned_Prepared_Data!D81</f>
        <v>High Street</v>
      </c>
      <c r="D81" s="4" t="n">
        <f aca="false">IF(C81="Airport",1,0)</f>
        <v>0</v>
      </c>
      <c r="E81" s="4" t="n">
        <f aca="false">IF(C81="Mall",1,0)</f>
        <v>0</v>
      </c>
      <c r="F81" s="4" t="n">
        <f aca="false">IF(C81="Residential",1,0)</f>
        <v>0</v>
      </c>
      <c r="G81" s="9" t="n">
        <f aca="false">Cleaned_Prepared_Data!M81</f>
        <v>776922.17</v>
      </c>
    </row>
    <row r="82" customFormat="false" ht="15" hidden="false" customHeight="true" outlineLevel="0" collapsed="false">
      <c r="A82" s="9" t="str">
        <f aca="false">Cleaned_Prepared_Data!A82</f>
        <v>STR-1020</v>
      </c>
      <c r="B82" s="10" t="n">
        <f aca="false">Cleaned_Prepared_Data!B82</f>
        <v>45748</v>
      </c>
      <c r="C82" s="9" t="str">
        <f aca="false">Cleaned_Prepared_Data!D82</f>
        <v>High Street</v>
      </c>
      <c r="D82" s="4" t="n">
        <f aca="false">IF(C82="Airport",1,0)</f>
        <v>0</v>
      </c>
      <c r="E82" s="4" t="n">
        <f aca="false">IF(C82="Mall",1,0)</f>
        <v>0</v>
      </c>
      <c r="F82" s="4" t="n">
        <f aca="false">IF(C82="Residential",1,0)</f>
        <v>0</v>
      </c>
      <c r="G82" s="9" t="n">
        <f aca="false">Cleaned_Prepared_Data!M82</f>
        <v>636561.34</v>
      </c>
    </row>
    <row r="83" customFormat="false" ht="15" hidden="false" customHeight="true" outlineLevel="0" collapsed="false">
      <c r="A83" s="9" t="str">
        <f aca="false">Cleaned_Prepared_Data!A83</f>
        <v>STR-1021</v>
      </c>
      <c r="B83" s="10" t="n">
        <f aca="false">Cleaned_Prepared_Data!B83</f>
        <v>45658</v>
      </c>
      <c r="C83" s="9" t="str">
        <f aca="false">Cleaned_Prepared_Data!D83</f>
        <v>Mall</v>
      </c>
      <c r="D83" s="4" t="n">
        <f aca="false">IF(C83="Airport",1,0)</f>
        <v>0</v>
      </c>
      <c r="E83" s="4" t="n">
        <f aca="false">IF(C83="Mall",1,0)</f>
        <v>1</v>
      </c>
      <c r="F83" s="4" t="n">
        <f aca="false">IF(C83="Residential",1,0)</f>
        <v>0</v>
      </c>
      <c r="G83" s="9" t="n">
        <f aca="false">Cleaned_Prepared_Data!M83</f>
        <v>621369.58</v>
      </c>
    </row>
    <row r="84" customFormat="false" ht="15" hidden="false" customHeight="true" outlineLevel="0" collapsed="false">
      <c r="A84" s="9" t="str">
        <f aca="false">Cleaned_Prepared_Data!A84</f>
        <v>STR-1021</v>
      </c>
      <c r="B84" s="10" t="n">
        <f aca="false">Cleaned_Prepared_Data!B84</f>
        <v>45689</v>
      </c>
      <c r="C84" s="9" t="str">
        <f aca="false">Cleaned_Prepared_Data!D84</f>
        <v>Mall</v>
      </c>
      <c r="D84" s="4" t="n">
        <f aca="false">IF(C84="Airport",1,0)</f>
        <v>0</v>
      </c>
      <c r="E84" s="4" t="n">
        <f aca="false">IF(C84="Mall",1,0)</f>
        <v>1</v>
      </c>
      <c r="F84" s="4" t="n">
        <f aca="false">IF(C84="Residential",1,0)</f>
        <v>0</v>
      </c>
      <c r="G84" s="9" t="n">
        <f aca="false">Cleaned_Prepared_Data!M84</f>
        <v>682208.01</v>
      </c>
    </row>
    <row r="85" customFormat="false" ht="15" hidden="false" customHeight="true" outlineLevel="0" collapsed="false">
      <c r="A85" s="9" t="str">
        <f aca="false">Cleaned_Prepared_Data!A85</f>
        <v>STR-1021</v>
      </c>
      <c r="B85" s="10" t="n">
        <f aca="false">Cleaned_Prepared_Data!B85</f>
        <v>45717</v>
      </c>
      <c r="C85" s="9" t="str">
        <f aca="false">Cleaned_Prepared_Data!D85</f>
        <v>Mall</v>
      </c>
      <c r="D85" s="4" t="n">
        <f aca="false">IF(C85="Airport",1,0)</f>
        <v>0</v>
      </c>
      <c r="E85" s="4" t="n">
        <f aca="false">IF(C85="Mall",1,0)</f>
        <v>1</v>
      </c>
      <c r="F85" s="4" t="n">
        <f aca="false">IF(C85="Residential",1,0)</f>
        <v>0</v>
      </c>
      <c r="G85" s="9" t="n">
        <f aca="false">Cleaned_Prepared_Data!M85</f>
        <v>727241.86</v>
      </c>
    </row>
    <row r="86" customFormat="false" ht="15" hidden="false" customHeight="true" outlineLevel="0" collapsed="false">
      <c r="A86" s="9" t="str">
        <f aca="false">Cleaned_Prepared_Data!A86</f>
        <v>STR-1021</v>
      </c>
      <c r="B86" s="10" t="n">
        <f aca="false">Cleaned_Prepared_Data!B86</f>
        <v>45748</v>
      </c>
      <c r="C86" s="9" t="str">
        <f aca="false">Cleaned_Prepared_Data!D86</f>
        <v>Mall</v>
      </c>
      <c r="D86" s="4" t="n">
        <f aca="false">IF(C86="Airport",1,0)</f>
        <v>0</v>
      </c>
      <c r="E86" s="4" t="n">
        <f aca="false">IF(C86="Mall",1,0)</f>
        <v>1</v>
      </c>
      <c r="F86" s="4" t="n">
        <f aca="false">IF(C86="Residential",1,0)</f>
        <v>0</v>
      </c>
      <c r="G86" s="9" t="n">
        <f aca="false">Cleaned_Prepared_Data!M86</f>
        <v>569100.78</v>
      </c>
    </row>
    <row r="87" customFormat="false" ht="15" hidden="false" customHeight="true" outlineLevel="0" collapsed="false">
      <c r="A87" s="9" t="str">
        <f aca="false">Cleaned_Prepared_Data!A87</f>
        <v>STR-1022</v>
      </c>
      <c r="B87" s="10" t="n">
        <f aca="false">Cleaned_Prepared_Data!B87</f>
        <v>45658</v>
      </c>
      <c r="C87" s="9" t="str">
        <f aca="false">Cleaned_Prepared_Data!D87</f>
        <v>High Street</v>
      </c>
      <c r="D87" s="4" t="n">
        <f aca="false">IF(C87="Airport",1,0)</f>
        <v>0</v>
      </c>
      <c r="E87" s="4" t="n">
        <f aca="false">IF(C87="Mall",1,0)</f>
        <v>0</v>
      </c>
      <c r="F87" s="4" t="n">
        <f aca="false">IF(C87="Residential",1,0)</f>
        <v>0</v>
      </c>
      <c r="G87" s="9" t="n">
        <f aca="false">Cleaned_Prepared_Data!M87</f>
        <v>574436.29</v>
      </c>
    </row>
    <row r="88" customFormat="false" ht="15" hidden="false" customHeight="true" outlineLevel="0" collapsed="false">
      <c r="A88" s="9" t="str">
        <f aca="false">Cleaned_Prepared_Data!A88</f>
        <v>STR-1022</v>
      </c>
      <c r="B88" s="10" t="n">
        <f aca="false">Cleaned_Prepared_Data!B88</f>
        <v>45717</v>
      </c>
      <c r="C88" s="9" t="str">
        <f aca="false">Cleaned_Prepared_Data!D88</f>
        <v>High Street</v>
      </c>
      <c r="D88" s="4" t="n">
        <f aca="false">IF(C88="Airport",1,0)</f>
        <v>0</v>
      </c>
      <c r="E88" s="4" t="n">
        <f aca="false">IF(C88="Mall",1,0)</f>
        <v>0</v>
      </c>
      <c r="F88" s="4" t="n">
        <f aca="false">IF(C88="Residential",1,0)</f>
        <v>0</v>
      </c>
      <c r="G88" s="9" t="n">
        <f aca="false">Cleaned_Prepared_Data!M88</f>
        <v>614596.32</v>
      </c>
    </row>
    <row r="89" customFormat="false" ht="15" hidden="false" customHeight="true" outlineLevel="0" collapsed="false">
      <c r="A89" s="9" t="str">
        <f aca="false">Cleaned_Prepared_Data!A89</f>
        <v>STR-1022</v>
      </c>
      <c r="B89" s="10" t="n">
        <f aca="false">Cleaned_Prepared_Data!B89</f>
        <v>45748</v>
      </c>
      <c r="C89" s="9" t="str">
        <f aca="false">Cleaned_Prepared_Data!D89</f>
        <v>High Street</v>
      </c>
      <c r="D89" s="4" t="n">
        <f aca="false">IF(C89="Airport",1,0)</f>
        <v>0</v>
      </c>
      <c r="E89" s="4" t="n">
        <f aca="false">IF(C89="Mall",1,0)</f>
        <v>0</v>
      </c>
      <c r="F89" s="4" t="n">
        <f aca="false">IF(C89="Residential",1,0)</f>
        <v>0</v>
      </c>
      <c r="G89" s="9" t="n">
        <f aca="false">Cleaned_Prepared_Data!M89</f>
        <v>450711.92</v>
      </c>
    </row>
    <row r="90" customFormat="false" ht="15" hidden="false" customHeight="true" outlineLevel="0" collapsed="false">
      <c r="A90" s="9" t="str">
        <f aca="false">Cleaned_Prepared_Data!A90</f>
        <v>STR-1023</v>
      </c>
      <c r="B90" s="10" t="n">
        <f aca="false">Cleaned_Prepared_Data!B90</f>
        <v>45658</v>
      </c>
      <c r="C90" s="9" t="str">
        <f aca="false">Cleaned_Prepared_Data!D90</f>
        <v>Mall</v>
      </c>
      <c r="D90" s="4" t="n">
        <f aca="false">IF(C90="Airport",1,0)</f>
        <v>0</v>
      </c>
      <c r="E90" s="4" t="n">
        <f aca="false">IF(C90="Mall",1,0)</f>
        <v>1</v>
      </c>
      <c r="F90" s="4" t="n">
        <f aca="false">IF(C90="Residential",1,0)</f>
        <v>0</v>
      </c>
      <c r="G90" s="9" t="n">
        <f aca="false">Cleaned_Prepared_Data!M90</f>
        <v>711213.46</v>
      </c>
    </row>
    <row r="91" customFormat="false" ht="15" hidden="false" customHeight="true" outlineLevel="0" collapsed="false">
      <c r="A91" s="9" t="str">
        <f aca="false">Cleaned_Prepared_Data!A91</f>
        <v>STR-1023</v>
      </c>
      <c r="B91" s="10" t="n">
        <f aca="false">Cleaned_Prepared_Data!B91</f>
        <v>45689</v>
      </c>
      <c r="C91" s="9" t="str">
        <f aca="false">Cleaned_Prepared_Data!D91</f>
        <v>Mall</v>
      </c>
      <c r="D91" s="4" t="n">
        <f aca="false">IF(C91="Airport",1,0)</f>
        <v>0</v>
      </c>
      <c r="E91" s="4" t="n">
        <f aca="false">IF(C91="Mall",1,0)</f>
        <v>1</v>
      </c>
      <c r="F91" s="4" t="n">
        <f aca="false">IF(C91="Residential",1,0)</f>
        <v>0</v>
      </c>
      <c r="G91" s="9" t="n">
        <f aca="false">Cleaned_Prepared_Data!M91</f>
        <v>627171.9</v>
      </c>
    </row>
    <row r="92" customFormat="false" ht="15" hidden="false" customHeight="true" outlineLevel="0" collapsed="false">
      <c r="A92" s="9" t="str">
        <f aca="false">Cleaned_Prepared_Data!A92</f>
        <v>STR-1023</v>
      </c>
      <c r="B92" s="10" t="n">
        <f aca="false">Cleaned_Prepared_Data!B92</f>
        <v>45717</v>
      </c>
      <c r="C92" s="9" t="str">
        <f aca="false">Cleaned_Prepared_Data!D92</f>
        <v>Mall</v>
      </c>
      <c r="D92" s="4" t="n">
        <f aca="false">IF(C92="Airport",1,0)</f>
        <v>0</v>
      </c>
      <c r="E92" s="4" t="n">
        <f aca="false">IF(C92="Mall",1,0)</f>
        <v>1</v>
      </c>
      <c r="F92" s="4" t="n">
        <f aca="false">IF(C92="Residential",1,0)</f>
        <v>0</v>
      </c>
      <c r="G92" s="9" t="n">
        <f aca="false">Cleaned_Prepared_Data!M92</f>
        <v>739852.58</v>
      </c>
    </row>
    <row r="93" customFormat="false" ht="15" hidden="false" customHeight="true" outlineLevel="0" collapsed="false">
      <c r="A93" s="9" t="str">
        <f aca="false">Cleaned_Prepared_Data!A93</f>
        <v>STR-1023</v>
      </c>
      <c r="B93" s="10" t="n">
        <f aca="false">Cleaned_Prepared_Data!B93</f>
        <v>45748</v>
      </c>
      <c r="C93" s="9" t="str">
        <f aca="false">Cleaned_Prepared_Data!D93</f>
        <v>Mall</v>
      </c>
      <c r="D93" s="4" t="n">
        <f aca="false">IF(C93="Airport",1,0)</f>
        <v>0</v>
      </c>
      <c r="E93" s="4" t="n">
        <f aca="false">IF(C93="Mall",1,0)</f>
        <v>1</v>
      </c>
      <c r="F93" s="4" t="n">
        <f aca="false">IF(C93="Residential",1,0)</f>
        <v>0</v>
      </c>
      <c r="G93" s="9" t="n">
        <f aca="false">Cleaned_Prepared_Data!M93</f>
        <v>586307.22</v>
      </c>
    </row>
    <row r="94" customFormat="false" ht="15" hidden="false" customHeight="true" outlineLevel="0" collapsed="false">
      <c r="A94" s="9" t="str">
        <f aca="false">Cleaned_Prepared_Data!A94</f>
        <v>STR-1024</v>
      </c>
      <c r="B94" s="10" t="n">
        <f aca="false">Cleaned_Prepared_Data!B94</f>
        <v>45658</v>
      </c>
      <c r="C94" s="9" t="str">
        <f aca="false">Cleaned_Prepared_Data!D94</f>
        <v>Residential</v>
      </c>
      <c r="D94" s="4" t="n">
        <f aca="false">IF(C94="Airport",1,0)</f>
        <v>0</v>
      </c>
      <c r="E94" s="4" t="n">
        <f aca="false">IF(C94="Mall",1,0)</f>
        <v>0</v>
      </c>
      <c r="F94" s="4" t="n">
        <f aca="false">IF(C94="Residential",1,0)</f>
        <v>1</v>
      </c>
      <c r="G94" s="9" t="n">
        <f aca="false">Cleaned_Prepared_Data!M94</f>
        <v>585937.48</v>
      </c>
    </row>
    <row r="95" customFormat="false" ht="15" hidden="false" customHeight="true" outlineLevel="0" collapsed="false">
      <c r="A95" s="9" t="str">
        <f aca="false">Cleaned_Prepared_Data!A95</f>
        <v>STR-1024</v>
      </c>
      <c r="B95" s="10" t="n">
        <f aca="false">Cleaned_Prepared_Data!B95</f>
        <v>45689</v>
      </c>
      <c r="C95" s="9" t="str">
        <f aca="false">Cleaned_Prepared_Data!D95</f>
        <v>Residential</v>
      </c>
      <c r="D95" s="4" t="n">
        <f aca="false">IF(C95="Airport",1,0)</f>
        <v>0</v>
      </c>
      <c r="E95" s="4" t="n">
        <f aca="false">IF(C95="Mall",1,0)</f>
        <v>0</v>
      </c>
      <c r="F95" s="4" t="n">
        <f aca="false">IF(C95="Residential",1,0)</f>
        <v>1</v>
      </c>
      <c r="G95" s="9" t="n">
        <f aca="false">Cleaned_Prepared_Data!M95</f>
        <v>753473.55</v>
      </c>
    </row>
    <row r="96" customFormat="false" ht="15" hidden="false" customHeight="true" outlineLevel="0" collapsed="false">
      <c r="A96" s="9" t="str">
        <f aca="false">Cleaned_Prepared_Data!A96</f>
        <v>STR-1024</v>
      </c>
      <c r="B96" s="10" t="n">
        <f aca="false">Cleaned_Prepared_Data!B96</f>
        <v>45717</v>
      </c>
      <c r="C96" s="9" t="str">
        <f aca="false">Cleaned_Prepared_Data!D96</f>
        <v>Residential</v>
      </c>
      <c r="D96" s="4" t="n">
        <f aca="false">IF(C96="Airport",1,0)</f>
        <v>0</v>
      </c>
      <c r="E96" s="4" t="n">
        <f aca="false">IF(C96="Mall",1,0)</f>
        <v>0</v>
      </c>
      <c r="F96" s="4" t="n">
        <f aca="false">IF(C96="Residential",1,0)</f>
        <v>1</v>
      </c>
      <c r="G96" s="9" t="n">
        <f aca="false">Cleaned_Prepared_Data!M96</f>
        <v>838250.32</v>
      </c>
    </row>
    <row r="97" customFormat="false" ht="15" hidden="false" customHeight="true" outlineLevel="0" collapsed="false">
      <c r="A97" s="9" t="str">
        <f aca="false">Cleaned_Prepared_Data!A97</f>
        <v>STR-1024</v>
      </c>
      <c r="B97" s="10" t="n">
        <f aca="false">Cleaned_Prepared_Data!B97</f>
        <v>45748</v>
      </c>
      <c r="C97" s="9" t="str">
        <f aca="false">Cleaned_Prepared_Data!D97</f>
        <v>Residential</v>
      </c>
      <c r="D97" s="4" t="n">
        <f aca="false">IF(C97="Airport",1,0)</f>
        <v>0</v>
      </c>
      <c r="E97" s="4" t="n">
        <f aca="false">IF(C97="Mall",1,0)</f>
        <v>0</v>
      </c>
      <c r="F97" s="4" t="n">
        <f aca="false">IF(C97="Residential",1,0)</f>
        <v>1</v>
      </c>
      <c r="G97" s="9" t="n">
        <f aca="false">Cleaned_Prepared_Data!M97</f>
        <v>607898.12</v>
      </c>
    </row>
    <row r="98" customFormat="false" ht="15" hidden="false" customHeight="true" outlineLevel="0" collapsed="false">
      <c r="A98" s="9" t="str">
        <f aca="false">Cleaned_Prepared_Data!A98</f>
        <v>STR-1025</v>
      </c>
      <c r="B98" s="10" t="n">
        <f aca="false">Cleaned_Prepared_Data!B98</f>
        <v>45658</v>
      </c>
      <c r="C98" s="9" t="str">
        <f aca="false">Cleaned_Prepared_Data!D98</f>
        <v>Mall</v>
      </c>
      <c r="D98" s="4" t="n">
        <f aca="false">IF(C98="Airport",1,0)</f>
        <v>0</v>
      </c>
      <c r="E98" s="4" t="n">
        <f aca="false">IF(C98="Mall",1,0)</f>
        <v>1</v>
      </c>
      <c r="F98" s="4" t="n">
        <f aca="false">IF(C98="Residential",1,0)</f>
        <v>0</v>
      </c>
      <c r="G98" s="9" t="n">
        <f aca="false">Cleaned_Prepared_Data!M98</f>
        <v>691113.62</v>
      </c>
    </row>
    <row r="99" customFormat="false" ht="15" hidden="false" customHeight="true" outlineLevel="0" collapsed="false">
      <c r="A99" s="9" t="str">
        <f aca="false">Cleaned_Prepared_Data!A99</f>
        <v>STR-1025</v>
      </c>
      <c r="B99" s="10" t="n">
        <f aca="false">Cleaned_Prepared_Data!B99</f>
        <v>45689</v>
      </c>
      <c r="C99" s="9" t="str">
        <f aca="false">Cleaned_Prepared_Data!D99</f>
        <v>Mall</v>
      </c>
      <c r="D99" s="4" t="n">
        <f aca="false">IF(C99="Airport",1,0)</f>
        <v>0</v>
      </c>
      <c r="E99" s="4" t="n">
        <f aca="false">IF(C99="Mall",1,0)</f>
        <v>1</v>
      </c>
      <c r="F99" s="4" t="n">
        <f aca="false">IF(C99="Residential",1,0)</f>
        <v>0</v>
      </c>
      <c r="G99" s="9" t="n">
        <f aca="false">Cleaned_Prepared_Data!M99</f>
        <v>735509.4</v>
      </c>
    </row>
    <row r="100" customFormat="false" ht="15" hidden="false" customHeight="true" outlineLevel="0" collapsed="false">
      <c r="A100" s="9" t="str">
        <f aca="false">Cleaned_Prepared_Data!A100</f>
        <v>STR-1025</v>
      </c>
      <c r="B100" s="10" t="n">
        <f aca="false">Cleaned_Prepared_Data!B100</f>
        <v>45748</v>
      </c>
      <c r="C100" s="9" t="str">
        <f aca="false">Cleaned_Prepared_Data!D100</f>
        <v>Mall</v>
      </c>
      <c r="D100" s="4" t="n">
        <f aca="false">IF(C100="Airport",1,0)</f>
        <v>0</v>
      </c>
      <c r="E100" s="4" t="n">
        <f aca="false">IF(C100="Mall",1,0)</f>
        <v>1</v>
      </c>
      <c r="F100" s="4" t="n">
        <f aca="false">IF(C100="Residential",1,0)</f>
        <v>0</v>
      </c>
      <c r="G100" s="9" t="n">
        <f aca="false">Cleaned_Prepared_Data!M100</f>
        <v>675177.68</v>
      </c>
    </row>
    <row r="101" customFormat="false" ht="15" hidden="false" customHeight="true" outlineLevel="0" collapsed="false">
      <c r="A101" s="9" t="str">
        <f aca="false">Cleaned_Prepared_Data!A101</f>
        <v>STR-1026</v>
      </c>
      <c r="B101" s="10" t="n">
        <f aca="false">Cleaned_Prepared_Data!B101</f>
        <v>45658</v>
      </c>
      <c r="C101" s="9" t="str">
        <f aca="false">Cleaned_Prepared_Data!D101</f>
        <v>Mall</v>
      </c>
      <c r="D101" s="4" t="n">
        <f aca="false">IF(C101="Airport",1,0)</f>
        <v>0</v>
      </c>
      <c r="E101" s="4" t="n">
        <f aca="false">IF(C101="Mall",1,0)</f>
        <v>1</v>
      </c>
      <c r="F101" s="4" t="n">
        <f aca="false">IF(C101="Residential",1,0)</f>
        <v>0</v>
      </c>
      <c r="G101" s="9" t="n">
        <f aca="false">Cleaned_Prepared_Data!M101</f>
        <v>635181.35</v>
      </c>
    </row>
    <row r="102" customFormat="false" ht="15" hidden="false" customHeight="true" outlineLevel="0" collapsed="false">
      <c r="A102" s="9" t="str">
        <f aca="false">Cleaned_Prepared_Data!A102</f>
        <v>STR-1026</v>
      </c>
      <c r="B102" s="10" t="n">
        <f aca="false">Cleaned_Prepared_Data!B102</f>
        <v>45689</v>
      </c>
      <c r="C102" s="9" t="str">
        <f aca="false">Cleaned_Prepared_Data!D102</f>
        <v>Mall</v>
      </c>
      <c r="D102" s="4" t="n">
        <f aca="false">IF(C102="Airport",1,0)</f>
        <v>0</v>
      </c>
      <c r="E102" s="4" t="n">
        <f aca="false">IF(C102="Mall",1,0)</f>
        <v>1</v>
      </c>
      <c r="F102" s="4" t="n">
        <f aca="false">IF(C102="Residential",1,0)</f>
        <v>0</v>
      </c>
      <c r="G102" s="9" t="n">
        <f aca="false">Cleaned_Prepared_Data!M102</f>
        <v>586626.94</v>
      </c>
    </row>
    <row r="103" customFormat="false" ht="15" hidden="false" customHeight="true" outlineLevel="0" collapsed="false">
      <c r="A103" s="9" t="str">
        <f aca="false">Cleaned_Prepared_Data!A103</f>
        <v>STR-1026</v>
      </c>
      <c r="B103" s="10" t="n">
        <f aca="false">Cleaned_Prepared_Data!B103</f>
        <v>45717</v>
      </c>
      <c r="C103" s="9" t="str">
        <f aca="false">Cleaned_Prepared_Data!D103</f>
        <v>Mall</v>
      </c>
      <c r="D103" s="4" t="n">
        <f aca="false">IF(C103="Airport",1,0)</f>
        <v>0</v>
      </c>
      <c r="E103" s="4" t="n">
        <f aca="false">IF(C103="Mall",1,0)</f>
        <v>1</v>
      </c>
      <c r="F103" s="4" t="n">
        <f aca="false">IF(C103="Residential",1,0)</f>
        <v>0</v>
      </c>
      <c r="G103" s="9" t="n">
        <f aca="false">Cleaned_Prepared_Data!M103</f>
        <v>740102.64</v>
      </c>
    </row>
    <row r="104" customFormat="false" ht="15" hidden="false" customHeight="true" outlineLevel="0" collapsed="false">
      <c r="A104" s="9" t="str">
        <f aca="false">Cleaned_Prepared_Data!A104</f>
        <v>STR-1026</v>
      </c>
      <c r="B104" s="10" t="n">
        <f aca="false">Cleaned_Prepared_Data!B104</f>
        <v>45748</v>
      </c>
      <c r="C104" s="9" t="str">
        <f aca="false">Cleaned_Prepared_Data!D104</f>
        <v>Mall</v>
      </c>
      <c r="D104" s="4" t="n">
        <f aca="false">IF(C104="Airport",1,0)</f>
        <v>0</v>
      </c>
      <c r="E104" s="4" t="n">
        <f aca="false">IF(C104="Mall",1,0)</f>
        <v>1</v>
      </c>
      <c r="F104" s="4" t="n">
        <f aca="false">IF(C104="Residential",1,0)</f>
        <v>0</v>
      </c>
      <c r="G104" s="9" t="n">
        <f aca="false">Cleaned_Prepared_Data!M104</f>
        <v>625514.04</v>
      </c>
    </row>
    <row r="105" customFormat="false" ht="15" hidden="false" customHeight="true" outlineLevel="0" collapsed="false">
      <c r="A105" s="9" t="str">
        <f aca="false">Cleaned_Prepared_Data!A105</f>
        <v>STR-1027</v>
      </c>
      <c r="B105" s="10" t="n">
        <f aca="false">Cleaned_Prepared_Data!B105</f>
        <v>45658</v>
      </c>
      <c r="C105" s="9" t="str">
        <f aca="false">Cleaned_Prepared_Data!D105</f>
        <v>High Street</v>
      </c>
      <c r="D105" s="4" t="n">
        <f aca="false">IF(C105="Airport",1,0)</f>
        <v>0</v>
      </c>
      <c r="E105" s="4" t="n">
        <f aca="false">IF(C105="Mall",1,0)</f>
        <v>0</v>
      </c>
      <c r="F105" s="4" t="n">
        <f aca="false">IF(C105="Residential",1,0)</f>
        <v>0</v>
      </c>
      <c r="G105" s="9" t="n">
        <f aca="false">Cleaned_Prepared_Data!M105</f>
        <v>727227.2</v>
      </c>
    </row>
    <row r="106" customFormat="false" ht="15" hidden="false" customHeight="true" outlineLevel="0" collapsed="false">
      <c r="A106" s="9" t="str">
        <f aca="false">Cleaned_Prepared_Data!A106</f>
        <v>STR-1027</v>
      </c>
      <c r="B106" s="10" t="n">
        <f aca="false">Cleaned_Prepared_Data!B106</f>
        <v>45689</v>
      </c>
      <c r="C106" s="9" t="str">
        <f aca="false">Cleaned_Prepared_Data!D106</f>
        <v>High Street</v>
      </c>
      <c r="D106" s="4" t="n">
        <f aca="false">IF(C106="Airport",1,0)</f>
        <v>0</v>
      </c>
      <c r="E106" s="4" t="n">
        <f aca="false">IF(C106="Mall",1,0)</f>
        <v>0</v>
      </c>
      <c r="F106" s="4" t="n">
        <f aca="false">IF(C106="Residential",1,0)</f>
        <v>0</v>
      </c>
      <c r="G106" s="9" t="n">
        <f aca="false">Cleaned_Prepared_Data!M106</f>
        <v>783797.89</v>
      </c>
    </row>
    <row r="107" customFormat="false" ht="15" hidden="false" customHeight="true" outlineLevel="0" collapsed="false">
      <c r="A107" s="9" t="str">
        <f aca="false">Cleaned_Prepared_Data!A107</f>
        <v>STR-1027</v>
      </c>
      <c r="B107" s="10" t="n">
        <f aca="false">Cleaned_Prepared_Data!B107</f>
        <v>45717</v>
      </c>
      <c r="C107" s="9" t="str">
        <f aca="false">Cleaned_Prepared_Data!D107</f>
        <v>High Street</v>
      </c>
      <c r="D107" s="4" t="n">
        <f aca="false">IF(C107="Airport",1,0)</f>
        <v>0</v>
      </c>
      <c r="E107" s="4" t="n">
        <f aca="false">IF(C107="Mall",1,0)</f>
        <v>0</v>
      </c>
      <c r="F107" s="4" t="n">
        <f aca="false">IF(C107="Residential",1,0)</f>
        <v>0</v>
      </c>
      <c r="G107" s="9" t="n">
        <f aca="false">Cleaned_Prepared_Data!M107</f>
        <v>795153.84</v>
      </c>
    </row>
    <row r="108" customFormat="false" ht="15" hidden="false" customHeight="true" outlineLevel="0" collapsed="false">
      <c r="A108" s="9" t="str">
        <f aca="false">Cleaned_Prepared_Data!A108</f>
        <v>STR-1027</v>
      </c>
      <c r="B108" s="10" t="n">
        <f aca="false">Cleaned_Prepared_Data!B108</f>
        <v>45748</v>
      </c>
      <c r="C108" s="9" t="str">
        <f aca="false">Cleaned_Prepared_Data!D108</f>
        <v>High Street</v>
      </c>
      <c r="D108" s="4" t="n">
        <f aca="false">IF(C108="Airport",1,0)</f>
        <v>0</v>
      </c>
      <c r="E108" s="4" t="n">
        <f aca="false">IF(C108="Mall",1,0)</f>
        <v>0</v>
      </c>
      <c r="F108" s="4" t="n">
        <f aca="false">IF(C108="Residential",1,0)</f>
        <v>0</v>
      </c>
      <c r="G108" s="9" t="n">
        <f aca="false">Cleaned_Prepared_Data!M108</f>
        <v>665594.94</v>
      </c>
    </row>
    <row r="109" customFormat="false" ht="15" hidden="false" customHeight="true" outlineLevel="0" collapsed="false">
      <c r="A109" s="9" t="str">
        <f aca="false">Cleaned_Prepared_Data!A109</f>
        <v>STR-1028</v>
      </c>
      <c r="B109" s="10" t="n">
        <f aca="false">Cleaned_Prepared_Data!B109</f>
        <v>45658</v>
      </c>
      <c r="C109" s="9" t="str">
        <f aca="false">Cleaned_Prepared_Data!D109</f>
        <v>Mall</v>
      </c>
      <c r="D109" s="4" t="n">
        <f aca="false">IF(C109="Airport",1,0)</f>
        <v>0</v>
      </c>
      <c r="E109" s="4" t="n">
        <f aca="false">IF(C109="Mall",1,0)</f>
        <v>1</v>
      </c>
      <c r="F109" s="4" t="n">
        <f aca="false">IF(C109="Residential",1,0)</f>
        <v>0</v>
      </c>
      <c r="G109" s="9" t="n">
        <f aca="false">Cleaned_Prepared_Data!M109</f>
        <v>709478.39</v>
      </c>
    </row>
    <row r="110" customFormat="false" ht="15" hidden="false" customHeight="true" outlineLevel="0" collapsed="false">
      <c r="A110" s="9" t="str">
        <f aca="false">Cleaned_Prepared_Data!A110</f>
        <v>STR-1028</v>
      </c>
      <c r="B110" s="10" t="n">
        <f aca="false">Cleaned_Prepared_Data!B110</f>
        <v>45689</v>
      </c>
      <c r="C110" s="9" t="str">
        <f aca="false">Cleaned_Prepared_Data!D110</f>
        <v>Mall</v>
      </c>
      <c r="D110" s="4" t="n">
        <f aca="false">IF(C110="Airport",1,0)</f>
        <v>0</v>
      </c>
      <c r="E110" s="4" t="n">
        <f aca="false">IF(C110="Mall",1,0)</f>
        <v>1</v>
      </c>
      <c r="F110" s="4" t="n">
        <f aca="false">IF(C110="Residential",1,0)</f>
        <v>0</v>
      </c>
      <c r="G110" s="9" t="n">
        <f aca="false">Cleaned_Prepared_Data!M110</f>
        <v>664162.49</v>
      </c>
    </row>
    <row r="111" customFormat="false" ht="15" hidden="false" customHeight="true" outlineLevel="0" collapsed="false">
      <c r="A111" s="9" t="str">
        <f aca="false">Cleaned_Prepared_Data!A111</f>
        <v>STR-1028</v>
      </c>
      <c r="B111" s="10" t="n">
        <f aca="false">Cleaned_Prepared_Data!B111</f>
        <v>45717</v>
      </c>
      <c r="C111" s="9" t="str">
        <f aca="false">Cleaned_Prepared_Data!D111</f>
        <v>Mall</v>
      </c>
      <c r="D111" s="4" t="n">
        <f aca="false">IF(C111="Airport",1,0)</f>
        <v>0</v>
      </c>
      <c r="E111" s="4" t="n">
        <f aca="false">IF(C111="Mall",1,0)</f>
        <v>1</v>
      </c>
      <c r="F111" s="4" t="n">
        <f aca="false">IF(C111="Residential",1,0)</f>
        <v>0</v>
      </c>
      <c r="G111" s="9" t="n">
        <f aca="false">Cleaned_Prepared_Data!M111</f>
        <v>633494.21</v>
      </c>
    </row>
    <row r="112" customFormat="false" ht="15" hidden="false" customHeight="true" outlineLevel="0" collapsed="false">
      <c r="A112" s="9" t="str">
        <f aca="false">Cleaned_Prepared_Data!A112</f>
        <v>STR-1028</v>
      </c>
      <c r="B112" s="10" t="n">
        <f aca="false">Cleaned_Prepared_Data!B112</f>
        <v>45748</v>
      </c>
      <c r="C112" s="9" t="str">
        <f aca="false">Cleaned_Prepared_Data!D112</f>
        <v>Mall</v>
      </c>
      <c r="D112" s="4" t="n">
        <f aca="false">IF(C112="Airport",1,0)</f>
        <v>0</v>
      </c>
      <c r="E112" s="4" t="n">
        <f aca="false">IF(C112="Mall",1,0)</f>
        <v>1</v>
      </c>
      <c r="F112" s="4" t="n">
        <f aca="false">IF(C112="Residential",1,0)</f>
        <v>0</v>
      </c>
      <c r="G112" s="9" t="n">
        <f aca="false">Cleaned_Prepared_Data!M112</f>
        <v>713611.16</v>
      </c>
    </row>
    <row r="113" customFormat="false" ht="15" hidden="false" customHeight="true" outlineLevel="0" collapsed="false">
      <c r="A113" s="9" t="str">
        <f aca="false">Cleaned_Prepared_Data!A113</f>
        <v>STR-1029</v>
      </c>
      <c r="B113" s="10" t="n">
        <f aca="false">Cleaned_Prepared_Data!B113</f>
        <v>45658</v>
      </c>
      <c r="C113" s="9" t="str">
        <f aca="false">Cleaned_Prepared_Data!D113</f>
        <v>Mall</v>
      </c>
      <c r="D113" s="4" t="n">
        <f aca="false">IF(C113="Airport",1,0)</f>
        <v>0</v>
      </c>
      <c r="E113" s="4" t="n">
        <f aca="false">IF(C113="Mall",1,0)</f>
        <v>1</v>
      </c>
      <c r="F113" s="4" t="n">
        <f aca="false">IF(C113="Residential",1,0)</f>
        <v>0</v>
      </c>
      <c r="G113" s="9" t="n">
        <f aca="false">Cleaned_Prepared_Data!M113</f>
        <v>778397.97</v>
      </c>
    </row>
    <row r="114" customFormat="false" ht="15" hidden="false" customHeight="true" outlineLevel="0" collapsed="false">
      <c r="A114" s="9" t="str">
        <f aca="false">Cleaned_Prepared_Data!A114</f>
        <v>STR-1029</v>
      </c>
      <c r="B114" s="10" t="n">
        <f aca="false">Cleaned_Prepared_Data!B114</f>
        <v>45689</v>
      </c>
      <c r="C114" s="9" t="str">
        <f aca="false">Cleaned_Prepared_Data!D114</f>
        <v>Mall</v>
      </c>
      <c r="D114" s="4" t="n">
        <f aca="false">IF(C114="Airport",1,0)</f>
        <v>0</v>
      </c>
      <c r="E114" s="4" t="n">
        <f aca="false">IF(C114="Mall",1,0)</f>
        <v>1</v>
      </c>
      <c r="F114" s="4" t="n">
        <f aca="false">IF(C114="Residential",1,0)</f>
        <v>0</v>
      </c>
      <c r="G114" s="9" t="n">
        <f aca="false">Cleaned_Prepared_Data!M114</f>
        <v>873380.02</v>
      </c>
    </row>
    <row r="115" customFormat="false" ht="15" hidden="false" customHeight="true" outlineLevel="0" collapsed="false">
      <c r="A115" s="9" t="str">
        <f aca="false">Cleaned_Prepared_Data!A115</f>
        <v>STR-1029</v>
      </c>
      <c r="B115" s="10" t="n">
        <f aca="false">Cleaned_Prepared_Data!B115</f>
        <v>45717</v>
      </c>
      <c r="C115" s="9" t="str">
        <f aca="false">Cleaned_Prepared_Data!D115</f>
        <v>Mall</v>
      </c>
      <c r="D115" s="4" t="n">
        <f aca="false">IF(C115="Airport",1,0)</f>
        <v>0</v>
      </c>
      <c r="E115" s="4" t="n">
        <f aca="false">IF(C115="Mall",1,0)</f>
        <v>1</v>
      </c>
      <c r="F115" s="4" t="n">
        <f aca="false">IF(C115="Residential",1,0)</f>
        <v>0</v>
      </c>
      <c r="G115" s="9" t="n">
        <f aca="false">Cleaned_Prepared_Data!M115</f>
        <v>697287.9</v>
      </c>
    </row>
    <row r="116" customFormat="false" ht="15" hidden="false" customHeight="true" outlineLevel="0" collapsed="false">
      <c r="A116" s="9" t="str">
        <f aca="false">Cleaned_Prepared_Data!A116</f>
        <v>STR-1029</v>
      </c>
      <c r="B116" s="10" t="n">
        <f aca="false">Cleaned_Prepared_Data!B116</f>
        <v>45748</v>
      </c>
      <c r="C116" s="9" t="str">
        <f aca="false">Cleaned_Prepared_Data!D116</f>
        <v>Mall</v>
      </c>
      <c r="D116" s="4" t="n">
        <f aca="false">IF(C116="Airport",1,0)</f>
        <v>0</v>
      </c>
      <c r="E116" s="4" t="n">
        <f aca="false">IF(C116="Mall",1,0)</f>
        <v>1</v>
      </c>
      <c r="F116" s="4" t="n">
        <f aca="false">IF(C116="Residential",1,0)</f>
        <v>0</v>
      </c>
      <c r="G116" s="9" t="n">
        <f aca="false">Cleaned_Prepared_Data!M116</f>
        <v>718074.79</v>
      </c>
    </row>
    <row r="117" customFormat="false" ht="15" hidden="false" customHeight="true" outlineLevel="0" collapsed="false">
      <c r="A117" s="9" t="str">
        <f aca="false">Cleaned_Prepared_Data!A117</f>
        <v>STR-1030</v>
      </c>
      <c r="B117" s="10" t="n">
        <f aca="false">Cleaned_Prepared_Data!B117</f>
        <v>45658</v>
      </c>
      <c r="C117" s="9" t="str">
        <f aca="false">Cleaned_Prepared_Data!D117</f>
        <v>Residential</v>
      </c>
      <c r="D117" s="4" t="n">
        <f aca="false">IF(C117="Airport",1,0)</f>
        <v>0</v>
      </c>
      <c r="E117" s="4" t="n">
        <f aca="false">IF(C117="Mall",1,0)</f>
        <v>0</v>
      </c>
      <c r="F117" s="4" t="n">
        <f aca="false">IF(C117="Residential",1,0)</f>
        <v>1</v>
      </c>
      <c r="G117" s="9" t="n">
        <f aca="false">Cleaned_Prepared_Data!M117</f>
        <v>714942.43</v>
      </c>
    </row>
    <row r="118" customFormat="false" ht="15" hidden="false" customHeight="true" outlineLevel="0" collapsed="false">
      <c r="A118" s="9" t="str">
        <f aca="false">Cleaned_Prepared_Data!A118</f>
        <v>STR-1030</v>
      </c>
      <c r="B118" s="10" t="n">
        <f aca="false">Cleaned_Prepared_Data!B118</f>
        <v>45689</v>
      </c>
      <c r="C118" s="9" t="str">
        <f aca="false">Cleaned_Prepared_Data!D118</f>
        <v>Residential</v>
      </c>
      <c r="D118" s="4" t="n">
        <f aca="false">IF(C118="Airport",1,0)</f>
        <v>0</v>
      </c>
      <c r="E118" s="4" t="n">
        <f aca="false">IF(C118="Mall",1,0)</f>
        <v>0</v>
      </c>
      <c r="F118" s="4" t="n">
        <f aca="false">IF(C118="Residential",1,0)</f>
        <v>1</v>
      </c>
      <c r="G118" s="9" t="n">
        <f aca="false">Cleaned_Prepared_Data!M118</f>
        <v>820519.04</v>
      </c>
    </row>
    <row r="119" customFormat="false" ht="15" hidden="false" customHeight="true" outlineLevel="0" collapsed="false">
      <c r="A119" s="9" t="str">
        <f aca="false">Cleaned_Prepared_Data!A119</f>
        <v>STR-1030</v>
      </c>
      <c r="B119" s="10" t="n">
        <f aca="false">Cleaned_Prepared_Data!B119</f>
        <v>45717</v>
      </c>
      <c r="C119" s="9" t="str">
        <f aca="false">Cleaned_Prepared_Data!D119</f>
        <v>Residential</v>
      </c>
      <c r="D119" s="4" t="n">
        <f aca="false">IF(C119="Airport",1,0)</f>
        <v>0</v>
      </c>
      <c r="E119" s="4" t="n">
        <f aca="false">IF(C119="Mall",1,0)</f>
        <v>0</v>
      </c>
      <c r="F119" s="4" t="n">
        <f aca="false">IF(C119="Residential",1,0)</f>
        <v>1</v>
      </c>
      <c r="G119" s="9" t="n">
        <f aca="false">Cleaned_Prepared_Data!M119</f>
        <v>684217.32</v>
      </c>
    </row>
    <row r="120" customFormat="false" ht="15" hidden="false" customHeight="true" outlineLevel="0" collapsed="false">
      <c r="A120" s="9" t="str">
        <f aca="false">Cleaned_Prepared_Data!A120</f>
        <v>STR-1030</v>
      </c>
      <c r="B120" s="10" t="n">
        <f aca="false">Cleaned_Prepared_Data!B120</f>
        <v>45748</v>
      </c>
      <c r="C120" s="9" t="str">
        <f aca="false">Cleaned_Prepared_Data!D120</f>
        <v>Residential</v>
      </c>
      <c r="D120" s="4" t="n">
        <f aca="false">IF(C120="Airport",1,0)</f>
        <v>0</v>
      </c>
      <c r="E120" s="4" t="n">
        <f aca="false">IF(C120="Mall",1,0)</f>
        <v>0</v>
      </c>
      <c r="F120" s="4" t="n">
        <f aca="false">IF(C120="Residential",1,0)</f>
        <v>1</v>
      </c>
      <c r="G120" s="9" t="n">
        <f aca="false">Cleaned_Prepared_Data!M120</f>
        <v>735480.19</v>
      </c>
    </row>
    <row r="121" customFormat="false" ht="15" hidden="false" customHeight="true" outlineLevel="0" collapsed="false">
      <c r="A121" s="9" t="str">
        <f aca="false">Cleaned_Prepared_Data!A121</f>
        <v>STR-1031</v>
      </c>
      <c r="B121" s="10" t="n">
        <f aca="false">Cleaned_Prepared_Data!B121</f>
        <v>45658</v>
      </c>
      <c r="C121" s="9" t="str">
        <f aca="false">Cleaned_Prepared_Data!D121</f>
        <v>High Street</v>
      </c>
      <c r="D121" s="4" t="n">
        <f aca="false">IF(C121="Airport",1,0)</f>
        <v>0</v>
      </c>
      <c r="E121" s="4" t="n">
        <f aca="false">IF(C121="Mall",1,0)</f>
        <v>0</v>
      </c>
      <c r="F121" s="4" t="n">
        <f aca="false">IF(C121="Residential",1,0)</f>
        <v>0</v>
      </c>
      <c r="G121" s="9" t="n">
        <f aca="false">Cleaned_Prepared_Data!M121</f>
        <v>509484.81</v>
      </c>
    </row>
    <row r="122" customFormat="false" ht="15" hidden="false" customHeight="true" outlineLevel="0" collapsed="false">
      <c r="A122" s="9" t="str">
        <f aca="false">Cleaned_Prepared_Data!A122</f>
        <v>STR-1031</v>
      </c>
      <c r="B122" s="10" t="n">
        <f aca="false">Cleaned_Prepared_Data!B122</f>
        <v>45689</v>
      </c>
      <c r="C122" s="9" t="str">
        <f aca="false">Cleaned_Prepared_Data!D122</f>
        <v>High Street</v>
      </c>
      <c r="D122" s="4" t="n">
        <f aca="false">IF(C122="Airport",1,0)</f>
        <v>0</v>
      </c>
      <c r="E122" s="4" t="n">
        <f aca="false">IF(C122="Mall",1,0)</f>
        <v>0</v>
      </c>
      <c r="F122" s="4" t="n">
        <f aca="false">IF(C122="Residential",1,0)</f>
        <v>0</v>
      </c>
      <c r="G122" s="9" t="n">
        <f aca="false">Cleaned_Prepared_Data!M122</f>
        <v>654317.09</v>
      </c>
    </row>
    <row r="123" customFormat="false" ht="15" hidden="false" customHeight="true" outlineLevel="0" collapsed="false">
      <c r="A123" s="9" t="str">
        <f aca="false">Cleaned_Prepared_Data!A123</f>
        <v>STR-1031</v>
      </c>
      <c r="B123" s="10" t="n">
        <f aca="false">Cleaned_Prepared_Data!B123</f>
        <v>45717</v>
      </c>
      <c r="C123" s="9" t="str">
        <f aca="false">Cleaned_Prepared_Data!D123</f>
        <v>High Street</v>
      </c>
      <c r="D123" s="4" t="n">
        <f aca="false">IF(C123="Airport",1,0)</f>
        <v>0</v>
      </c>
      <c r="E123" s="4" t="n">
        <f aca="false">IF(C123="Mall",1,0)</f>
        <v>0</v>
      </c>
      <c r="F123" s="4" t="n">
        <f aca="false">IF(C123="Residential",1,0)</f>
        <v>0</v>
      </c>
      <c r="G123" s="9" t="n">
        <f aca="false">Cleaned_Prepared_Data!M123</f>
        <v>557487.26</v>
      </c>
    </row>
    <row r="124" customFormat="false" ht="15" hidden="false" customHeight="true" outlineLevel="0" collapsed="false">
      <c r="A124" s="9" t="str">
        <f aca="false">Cleaned_Prepared_Data!A124</f>
        <v>STR-1031</v>
      </c>
      <c r="B124" s="10" t="n">
        <f aca="false">Cleaned_Prepared_Data!B124</f>
        <v>45748</v>
      </c>
      <c r="C124" s="9" t="str">
        <f aca="false">Cleaned_Prepared_Data!D124</f>
        <v>High Street</v>
      </c>
      <c r="D124" s="4" t="n">
        <f aca="false">IF(C124="Airport",1,0)</f>
        <v>0</v>
      </c>
      <c r="E124" s="4" t="n">
        <f aca="false">IF(C124="Mall",1,0)</f>
        <v>0</v>
      </c>
      <c r="F124" s="4" t="n">
        <f aca="false">IF(C124="Residential",1,0)</f>
        <v>0</v>
      </c>
      <c r="G124" s="9" t="n">
        <f aca="false">Cleaned_Prepared_Data!M124</f>
        <v>441275.42</v>
      </c>
    </row>
    <row r="125" customFormat="false" ht="15" hidden="false" customHeight="true" outlineLevel="0" collapsed="false">
      <c r="A125" s="9" t="str">
        <f aca="false">Cleaned_Prepared_Data!A125</f>
        <v>STR-1032</v>
      </c>
      <c r="B125" s="10" t="n">
        <f aca="false">Cleaned_Prepared_Data!B125</f>
        <v>45658</v>
      </c>
      <c r="C125" s="9" t="str">
        <f aca="false">Cleaned_Prepared_Data!D125</f>
        <v>High Street</v>
      </c>
      <c r="D125" s="4" t="n">
        <f aca="false">IF(C125="Airport",1,0)</f>
        <v>0</v>
      </c>
      <c r="E125" s="4" t="n">
        <f aca="false">IF(C125="Mall",1,0)</f>
        <v>0</v>
      </c>
      <c r="F125" s="4" t="n">
        <f aca="false">IF(C125="Residential",1,0)</f>
        <v>0</v>
      </c>
      <c r="G125" s="9" t="n">
        <f aca="false">Cleaned_Prepared_Data!M125</f>
        <v>914544.17</v>
      </c>
    </row>
    <row r="126" customFormat="false" ht="15" hidden="false" customHeight="true" outlineLevel="0" collapsed="false">
      <c r="A126" s="9" t="str">
        <f aca="false">Cleaned_Prepared_Data!A126</f>
        <v>STR-1032</v>
      </c>
      <c r="B126" s="10" t="n">
        <f aca="false">Cleaned_Prepared_Data!B126</f>
        <v>45689</v>
      </c>
      <c r="C126" s="9" t="str">
        <f aca="false">Cleaned_Prepared_Data!D126</f>
        <v>High Street</v>
      </c>
      <c r="D126" s="4" t="n">
        <f aca="false">IF(C126="Airport",1,0)</f>
        <v>0</v>
      </c>
      <c r="E126" s="4" t="n">
        <f aca="false">IF(C126="Mall",1,0)</f>
        <v>0</v>
      </c>
      <c r="F126" s="4" t="n">
        <f aca="false">IF(C126="Residential",1,0)</f>
        <v>0</v>
      </c>
      <c r="G126" s="9" t="n">
        <f aca="false">Cleaned_Prepared_Data!M126</f>
        <v>842439.67</v>
      </c>
    </row>
    <row r="127" customFormat="false" ht="15" hidden="false" customHeight="true" outlineLevel="0" collapsed="false">
      <c r="A127" s="9" t="str">
        <f aca="false">Cleaned_Prepared_Data!A127</f>
        <v>STR-1032</v>
      </c>
      <c r="B127" s="10" t="n">
        <f aca="false">Cleaned_Prepared_Data!B127</f>
        <v>45717</v>
      </c>
      <c r="C127" s="9" t="str">
        <f aca="false">Cleaned_Prepared_Data!D127</f>
        <v>High Street</v>
      </c>
      <c r="D127" s="4" t="n">
        <f aca="false">IF(C127="Airport",1,0)</f>
        <v>0</v>
      </c>
      <c r="E127" s="4" t="n">
        <f aca="false">IF(C127="Mall",1,0)</f>
        <v>0</v>
      </c>
      <c r="F127" s="4" t="n">
        <f aca="false">IF(C127="Residential",1,0)</f>
        <v>0</v>
      </c>
      <c r="G127" s="9" t="n">
        <f aca="false">Cleaned_Prepared_Data!M127</f>
        <v>842157.92</v>
      </c>
    </row>
    <row r="128" customFormat="false" ht="15" hidden="false" customHeight="true" outlineLevel="0" collapsed="false">
      <c r="A128" s="9" t="str">
        <f aca="false">Cleaned_Prepared_Data!A128</f>
        <v>STR-1032</v>
      </c>
      <c r="B128" s="10" t="n">
        <f aca="false">Cleaned_Prepared_Data!B128</f>
        <v>45748</v>
      </c>
      <c r="C128" s="9" t="str">
        <f aca="false">Cleaned_Prepared_Data!D128</f>
        <v>High Street</v>
      </c>
      <c r="D128" s="4" t="n">
        <f aca="false">IF(C128="Airport",1,0)</f>
        <v>0</v>
      </c>
      <c r="E128" s="4" t="n">
        <f aca="false">IF(C128="Mall",1,0)</f>
        <v>0</v>
      </c>
      <c r="F128" s="4" t="n">
        <f aca="false">IF(C128="Residential",1,0)</f>
        <v>0</v>
      </c>
      <c r="G128" s="9" t="n">
        <f aca="false">Cleaned_Prepared_Data!M128</f>
        <v>697155.3</v>
      </c>
    </row>
    <row r="129" customFormat="false" ht="15" hidden="false" customHeight="true" outlineLevel="0" collapsed="false">
      <c r="A129" s="9" t="str">
        <f aca="false">Cleaned_Prepared_Data!A129</f>
        <v>STR-1033</v>
      </c>
      <c r="B129" s="10" t="n">
        <f aca="false">Cleaned_Prepared_Data!B129</f>
        <v>45658</v>
      </c>
      <c r="C129" s="9" t="str">
        <f aca="false">Cleaned_Prepared_Data!D129</f>
        <v>High Street</v>
      </c>
      <c r="D129" s="4" t="n">
        <f aca="false">IF(C129="Airport",1,0)</f>
        <v>0</v>
      </c>
      <c r="E129" s="4" t="n">
        <f aca="false">IF(C129="Mall",1,0)</f>
        <v>0</v>
      </c>
      <c r="F129" s="4" t="n">
        <f aca="false">IF(C129="Residential",1,0)</f>
        <v>0</v>
      </c>
      <c r="G129" s="9" t="n">
        <f aca="false">Cleaned_Prepared_Data!M129</f>
        <v>849018.3</v>
      </c>
    </row>
    <row r="130" customFormat="false" ht="15" hidden="false" customHeight="true" outlineLevel="0" collapsed="false">
      <c r="A130" s="9" t="str">
        <f aca="false">Cleaned_Prepared_Data!A130</f>
        <v>STR-1033</v>
      </c>
      <c r="B130" s="10" t="n">
        <f aca="false">Cleaned_Prepared_Data!B130</f>
        <v>45689</v>
      </c>
      <c r="C130" s="9" t="str">
        <f aca="false">Cleaned_Prepared_Data!D130</f>
        <v>High Street</v>
      </c>
      <c r="D130" s="4" t="n">
        <f aca="false">IF(C130="Airport",1,0)</f>
        <v>0</v>
      </c>
      <c r="E130" s="4" t="n">
        <f aca="false">IF(C130="Mall",1,0)</f>
        <v>0</v>
      </c>
      <c r="F130" s="4" t="n">
        <f aca="false">IF(C130="Residential",1,0)</f>
        <v>0</v>
      </c>
      <c r="G130" s="9" t="n">
        <f aca="false">Cleaned_Prepared_Data!M130</f>
        <v>801830.35</v>
      </c>
    </row>
    <row r="131" customFormat="false" ht="15" hidden="false" customHeight="true" outlineLevel="0" collapsed="false">
      <c r="A131" s="9" t="str">
        <f aca="false">Cleaned_Prepared_Data!A131</f>
        <v>STR-1033</v>
      </c>
      <c r="B131" s="10" t="n">
        <f aca="false">Cleaned_Prepared_Data!B131</f>
        <v>45717</v>
      </c>
      <c r="C131" s="9" t="str">
        <f aca="false">Cleaned_Prepared_Data!D131</f>
        <v>High Street</v>
      </c>
      <c r="D131" s="4" t="n">
        <f aca="false">IF(C131="Airport",1,0)</f>
        <v>0</v>
      </c>
      <c r="E131" s="4" t="n">
        <f aca="false">IF(C131="Mall",1,0)</f>
        <v>0</v>
      </c>
      <c r="F131" s="4" t="n">
        <f aca="false">IF(C131="Residential",1,0)</f>
        <v>0</v>
      </c>
      <c r="G131" s="9" t="n">
        <f aca="false">Cleaned_Prepared_Data!M131</f>
        <v>725235.28</v>
      </c>
    </row>
    <row r="132" customFormat="false" ht="15" hidden="false" customHeight="true" outlineLevel="0" collapsed="false">
      <c r="A132" s="9" t="str">
        <f aca="false">Cleaned_Prepared_Data!A132</f>
        <v>STR-1033</v>
      </c>
      <c r="B132" s="10" t="n">
        <f aca="false">Cleaned_Prepared_Data!B132</f>
        <v>45748</v>
      </c>
      <c r="C132" s="9" t="str">
        <f aca="false">Cleaned_Prepared_Data!D132</f>
        <v>High Street</v>
      </c>
      <c r="D132" s="4" t="n">
        <f aca="false">IF(C132="Airport",1,0)</f>
        <v>0</v>
      </c>
      <c r="E132" s="4" t="n">
        <f aca="false">IF(C132="Mall",1,0)</f>
        <v>0</v>
      </c>
      <c r="F132" s="4" t="n">
        <f aca="false">IF(C132="Residential",1,0)</f>
        <v>0</v>
      </c>
      <c r="G132" s="9" t="n">
        <f aca="false">Cleaned_Prepared_Data!M132</f>
        <v>811452.72</v>
      </c>
    </row>
    <row r="133" customFormat="false" ht="15" hidden="false" customHeight="true" outlineLevel="0" collapsed="false">
      <c r="A133" s="9" t="str">
        <f aca="false">Cleaned_Prepared_Data!A133</f>
        <v>STR-1034</v>
      </c>
      <c r="B133" s="10" t="n">
        <f aca="false">Cleaned_Prepared_Data!B133</f>
        <v>45658</v>
      </c>
      <c r="C133" s="9" t="str">
        <f aca="false">Cleaned_Prepared_Data!D133</f>
        <v>High Street</v>
      </c>
      <c r="D133" s="4" t="n">
        <f aca="false">IF(C133="Airport",1,0)</f>
        <v>0</v>
      </c>
      <c r="E133" s="4" t="n">
        <f aca="false">IF(C133="Mall",1,0)</f>
        <v>0</v>
      </c>
      <c r="F133" s="4" t="n">
        <f aca="false">IF(C133="Residential",1,0)</f>
        <v>0</v>
      </c>
      <c r="G133" s="9" t="n">
        <f aca="false">Cleaned_Prepared_Data!M133</f>
        <v>527300.13</v>
      </c>
    </row>
    <row r="134" customFormat="false" ht="15" hidden="false" customHeight="true" outlineLevel="0" collapsed="false">
      <c r="A134" s="9" t="str">
        <f aca="false">Cleaned_Prepared_Data!A134</f>
        <v>STR-1034</v>
      </c>
      <c r="B134" s="10" t="n">
        <f aca="false">Cleaned_Prepared_Data!B134</f>
        <v>45717</v>
      </c>
      <c r="C134" s="9" t="str">
        <f aca="false">Cleaned_Prepared_Data!D134</f>
        <v>High Street</v>
      </c>
      <c r="D134" s="4" t="n">
        <f aca="false">IF(C134="Airport",1,0)</f>
        <v>0</v>
      </c>
      <c r="E134" s="4" t="n">
        <f aca="false">IF(C134="Mall",1,0)</f>
        <v>0</v>
      </c>
      <c r="F134" s="4" t="n">
        <f aca="false">IF(C134="Residential",1,0)</f>
        <v>0</v>
      </c>
      <c r="G134" s="9" t="n">
        <f aca="false">Cleaned_Prepared_Data!M134</f>
        <v>593247.25</v>
      </c>
    </row>
    <row r="135" customFormat="false" ht="15" hidden="false" customHeight="true" outlineLevel="0" collapsed="false">
      <c r="A135" s="9" t="str">
        <f aca="false">Cleaned_Prepared_Data!A135</f>
        <v>STR-1034</v>
      </c>
      <c r="B135" s="10" t="n">
        <f aca="false">Cleaned_Prepared_Data!B135</f>
        <v>45748</v>
      </c>
      <c r="C135" s="9" t="str">
        <f aca="false">Cleaned_Prepared_Data!D135</f>
        <v>High Street</v>
      </c>
      <c r="D135" s="4" t="n">
        <f aca="false">IF(C135="Airport",1,0)</f>
        <v>0</v>
      </c>
      <c r="E135" s="4" t="n">
        <f aca="false">IF(C135="Mall",1,0)</f>
        <v>0</v>
      </c>
      <c r="F135" s="4" t="n">
        <f aca="false">IF(C135="Residential",1,0)</f>
        <v>0</v>
      </c>
      <c r="G135" s="9" t="n">
        <f aca="false">Cleaned_Prepared_Data!M135</f>
        <v>529075.95</v>
      </c>
    </row>
    <row r="136" customFormat="false" ht="15" hidden="false" customHeight="true" outlineLevel="0" collapsed="false">
      <c r="A136" s="9" t="str">
        <f aca="false">Cleaned_Prepared_Data!A136</f>
        <v>STR-1035</v>
      </c>
      <c r="B136" s="10" t="n">
        <f aca="false">Cleaned_Prepared_Data!B136</f>
        <v>45689</v>
      </c>
      <c r="C136" s="9" t="str">
        <f aca="false">Cleaned_Prepared_Data!D136</f>
        <v>Residential</v>
      </c>
      <c r="D136" s="4" t="n">
        <f aca="false">IF(C136="Airport",1,0)</f>
        <v>0</v>
      </c>
      <c r="E136" s="4" t="n">
        <f aca="false">IF(C136="Mall",1,0)</f>
        <v>0</v>
      </c>
      <c r="F136" s="4" t="n">
        <f aca="false">IF(C136="Residential",1,0)</f>
        <v>1</v>
      </c>
      <c r="G136" s="9" t="n">
        <f aca="false">Cleaned_Prepared_Data!M136</f>
        <v>743348.84</v>
      </c>
    </row>
    <row r="137" customFormat="false" ht="15" hidden="false" customHeight="true" outlineLevel="0" collapsed="false">
      <c r="A137" s="9" t="str">
        <f aca="false">Cleaned_Prepared_Data!A137</f>
        <v>STR-1035</v>
      </c>
      <c r="B137" s="10" t="n">
        <f aca="false">Cleaned_Prepared_Data!B137</f>
        <v>45717</v>
      </c>
      <c r="C137" s="9" t="str">
        <f aca="false">Cleaned_Prepared_Data!D137</f>
        <v>Residential</v>
      </c>
      <c r="D137" s="4" t="n">
        <f aca="false">IF(C137="Airport",1,0)</f>
        <v>0</v>
      </c>
      <c r="E137" s="4" t="n">
        <f aca="false">IF(C137="Mall",1,0)</f>
        <v>0</v>
      </c>
      <c r="F137" s="4" t="n">
        <f aca="false">IF(C137="Residential",1,0)</f>
        <v>1</v>
      </c>
      <c r="G137" s="9" t="n">
        <f aca="false">Cleaned_Prepared_Data!M137</f>
        <v>758827.64</v>
      </c>
    </row>
    <row r="138" customFormat="false" ht="15" hidden="false" customHeight="true" outlineLevel="0" collapsed="false">
      <c r="A138" s="9" t="str">
        <f aca="false">Cleaned_Prepared_Data!A138</f>
        <v>STR-1035</v>
      </c>
      <c r="B138" s="10" t="n">
        <f aca="false">Cleaned_Prepared_Data!B138</f>
        <v>45748</v>
      </c>
      <c r="C138" s="9" t="str">
        <f aca="false">Cleaned_Prepared_Data!D138</f>
        <v>Residential</v>
      </c>
      <c r="D138" s="4" t="n">
        <f aca="false">IF(C138="Airport",1,0)</f>
        <v>0</v>
      </c>
      <c r="E138" s="4" t="n">
        <f aca="false">IF(C138="Mall",1,0)</f>
        <v>0</v>
      </c>
      <c r="F138" s="4" t="n">
        <f aca="false">IF(C138="Residential",1,0)</f>
        <v>1</v>
      </c>
      <c r="G138" s="9" t="n">
        <f aca="false">Cleaned_Prepared_Data!M138</f>
        <v>646559.71</v>
      </c>
    </row>
    <row r="139" customFormat="false" ht="15" hidden="false" customHeight="true" outlineLevel="0" collapsed="false">
      <c r="A139" s="9" t="str">
        <f aca="false">Cleaned_Prepared_Data!A139</f>
        <v>STR-1036</v>
      </c>
      <c r="B139" s="10" t="n">
        <f aca="false">Cleaned_Prepared_Data!B139</f>
        <v>45658</v>
      </c>
      <c r="C139" s="9" t="str">
        <f aca="false">Cleaned_Prepared_Data!D139</f>
        <v>High Street</v>
      </c>
      <c r="D139" s="4" t="n">
        <f aca="false">IF(C139="Airport",1,0)</f>
        <v>0</v>
      </c>
      <c r="E139" s="4" t="n">
        <f aca="false">IF(C139="Mall",1,0)</f>
        <v>0</v>
      </c>
      <c r="F139" s="4" t="n">
        <f aca="false">IF(C139="Residential",1,0)</f>
        <v>0</v>
      </c>
      <c r="G139" s="9" t="n">
        <f aca="false">Cleaned_Prepared_Data!M139</f>
        <v>715890.53</v>
      </c>
    </row>
    <row r="140" customFormat="false" ht="15" hidden="false" customHeight="true" outlineLevel="0" collapsed="false">
      <c r="A140" s="9" t="str">
        <f aca="false">Cleaned_Prepared_Data!A140</f>
        <v>STR-1036</v>
      </c>
      <c r="B140" s="10" t="n">
        <f aca="false">Cleaned_Prepared_Data!B140</f>
        <v>45689</v>
      </c>
      <c r="C140" s="9" t="str">
        <f aca="false">Cleaned_Prepared_Data!D140</f>
        <v>High Street</v>
      </c>
      <c r="D140" s="4" t="n">
        <f aca="false">IF(C140="Airport",1,0)</f>
        <v>0</v>
      </c>
      <c r="E140" s="4" t="n">
        <f aca="false">IF(C140="Mall",1,0)</f>
        <v>0</v>
      </c>
      <c r="F140" s="4" t="n">
        <f aca="false">IF(C140="Residential",1,0)</f>
        <v>0</v>
      </c>
      <c r="G140" s="9" t="n">
        <f aca="false">Cleaned_Prepared_Data!M140</f>
        <v>715097.57</v>
      </c>
    </row>
    <row r="141" customFormat="false" ht="15" hidden="false" customHeight="true" outlineLevel="0" collapsed="false">
      <c r="A141" s="9" t="str">
        <f aca="false">Cleaned_Prepared_Data!A141</f>
        <v>STR-1036</v>
      </c>
      <c r="B141" s="10" t="n">
        <f aca="false">Cleaned_Prepared_Data!B141</f>
        <v>45717</v>
      </c>
      <c r="C141" s="9" t="str">
        <f aca="false">Cleaned_Prepared_Data!D141</f>
        <v>High Street</v>
      </c>
      <c r="D141" s="4" t="n">
        <f aca="false">IF(C141="Airport",1,0)</f>
        <v>0</v>
      </c>
      <c r="E141" s="4" t="n">
        <f aca="false">IF(C141="Mall",1,0)</f>
        <v>0</v>
      </c>
      <c r="F141" s="4" t="n">
        <f aca="false">IF(C141="Residential",1,0)</f>
        <v>0</v>
      </c>
      <c r="G141" s="9" t="n">
        <f aca="false">Cleaned_Prepared_Data!M141</f>
        <v>682639.28</v>
      </c>
    </row>
    <row r="142" customFormat="false" ht="15" hidden="false" customHeight="true" outlineLevel="0" collapsed="false">
      <c r="A142" s="9" t="str">
        <f aca="false">Cleaned_Prepared_Data!A142</f>
        <v>STR-1036</v>
      </c>
      <c r="B142" s="10" t="n">
        <f aca="false">Cleaned_Prepared_Data!B142</f>
        <v>45748</v>
      </c>
      <c r="C142" s="9" t="str">
        <f aca="false">Cleaned_Prepared_Data!D142</f>
        <v>High Street</v>
      </c>
      <c r="D142" s="4" t="n">
        <f aca="false">IF(C142="Airport",1,0)</f>
        <v>0</v>
      </c>
      <c r="E142" s="4" t="n">
        <f aca="false">IF(C142="Mall",1,0)</f>
        <v>0</v>
      </c>
      <c r="F142" s="4" t="n">
        <f aca="false">IF(C142="Residential",1,0)</f>
        <v>0</v>
      </c>
      <c r="G142" s="9" t="n">
        <f aca="false">Cleaned_Prepared_Data!M142</f>
        <v>695098.51</v>
      </c>
    </row>
    <row r="143" customFormat="false" ht="15" hidden="false" customHeight="true" outlineLevel="0" collapsed="false">
      <c r="A143" s="9" t="str">
        <f aca="false">Cleaned_Prepared_Data!A143</f>
        <v>STR-1037</v>
      </c>
      <c r="B143" s="10" t="n">
        <f aca="false">Cleaned_Prepared_Data!B143</f>
        <v>45658</v>
      </c>
      <c r="C143" s="9" t="str">
        <f aca="false">Cleaned_Prepared_Data!D143</f>
        <v>Residential</v>
      </c>
      <c r="D143" s="4" t="n">
        <f aca="false">IF(C143="Airport",1,0)</f>
        <v>0</v>
      </c>
      <c r="E143" s="4" t="n">
        <f aca="false">IF(C143="Mall",1,0)</f>
        <v>0</v>
      </c>
      <c r="F143" s="4" t="n">
        <f aca="false">IF(C143="Residential",1,0)</f>
        <v>1</v>
      </c>
      <c r="G143" s="9" t="n">
        <f aca="false">Cleaned_Prepared_Data!M143</f>
        <v>577732.57</v>
      </c>
    </row>
    <row r="144" customFormat="false" ht="15" hidden="false" customHeight="true" outlineLevel="0" collapsed="false">
      <c r="A144" s="9" t="str">
        <f aca="false">Cleaned_Prepared_Data!A144</f>
        <v>STR-1037</v>
      </c>
      <c r="B144" s="10" t="n">
        <f aca="false">Cleaned_Prepared_Data!B144</f>
        <v>45689</v>
      </c>
      <c r="C144" s="9" t="str">
        <f aca="false">Cleaned_Prepared_Data!D144</f>
        <v>Residential</v>
      </c>
      <c r="D144" s="4" t="n">
        <f aca="false">IF(C144="Airport",1,0)</f>
        <v>0</v>
      </c>
      <c r="E144" s="4" t="n">
        <f aca="false">IF(C144="Mall",1,0)</f>
        <v>0</v>
      </c>
      <c r="F144" s="4" t="n">
        <f aca="false">IF(C144="Residential",1,0)</f>
        <v>1</v>
      </c>
      <c r="G144" s="9" t="n">
        <f aca="false">Cleaned_Prepared_Data!M144</f>
        <v>537058.33</v>
      </c>
    </row>
    <row r="145" customFormat="false" ht="15" hidden="false" customHeight="true" outlineLevel="0" collapsed="false">
      <c r="A145" s="9" t="str">
        <f aca="false">Cleaned_Prepared_Data!A145</f>
        <v>STR-1037</v>
      </c>
      <c r="B145" s="10" t="n">
        <f aca="false">Cleaned_Prepared_Data!B145</f>
        <v>45717</v>
      </c>
      <c r="C145" s="9" t="str">
        <f aca="false">Cleaned_Prepared_Data!D145</f>
        <v>Residential</v>
      </c>
      <c r="D145" s="4" t="n">
        <f aca="false">IF(C145="Airport",1,0)</f>
        <v>0</v>
      </c>
      <c r="E145" s="4" t="n">
        <f aca="false">IF(C145="Mall",1,0)</f>
        <v>0</v>
      </c>
      <c r="F145" s="4" t="n">
        <f aca="false">IF(C145="Residential",1,0)</f>
        <v>1</v>
      </c>
      <c r="G145" s="9" t="n">
        <f aca="false">Cleaned_Prepared_Data!M145</f>
        <v>601568.87</v>
      </c>
    </row>
    <row r="146" customFormat="false" ht="15" hidden="false" customHeight="true" outlineLevel="0" collapsed="false">
      <c r="A146" s="9" t="str">
        <f aca="false">Cleaned_Prepared_Data!A146</f>
        <v>STR-1037</v>
      </c>
      <c r="B146" s="10" t="n">
        <f aca="false">Cleaned_Prepared_Data!B146</f>
        <v>45748</v>
      </c>
      <c r="C146" s="9" t="str">
        <f aca="false">Cleaned_Prepared_Data!D146</f>
        <v>Residential</v>
      </c>
      <c r="D146" s="4" t="n">
        <f aca="false">IF(C146="Airport",1,0)</f>
        <v>0</v>
      </c>
      <c r="E146" s="4" t="n">
        <f aca="false">IF(C146="Mall",1,0)</f>
        <v>0</v>
      </c>
      <c r="F146" s="4" t="n">
        <f aca="false">IF(C146="Residential",1,0)</f>
        <v>1</v>
      </c>
      <c r="G146" s="9" t="n">
        <f aca="false">Cleaned_Prepared_Data!M146</f>
        <v>570964.84</v>
      </c>
    </row>
    <row r="147" customFormat="false" ht="15" hidden="false" customHeight="true" outlineLevel="0" collapsed="false">
      <c r="A147" s="9" t="str">
        <f aca="false">Cleaned_Prepared_Data!A147</f>
        <v>STR-1038</v>
      </c>
      <c r="B147" s="10" t="n">
        <f aca="false">Cleaned_Prepared_Data!B147</f>
        <v>45658</v>
      </c>
      <c r="C147" s="9" t="str">
        <f aca="false">Cleaned_Prepared_Data!D147</f>
        <v>Mall</v>
      </c>
      <c r="D147" s="4" t="n">
        <f aca="false">IF(C147="Airport",1,0)</f>
        <v>0</v>
      </c>
      <c r="E147" s="4" t="n">
        <f aca="false">IF(C147="Mall",1,0)</f>
        <v>1</v>
      </c>
      <c r="F147" s="4" t="n">
        <f aca="false">IF(C147="Residential",1,0)</f>
        <v>0</v>
      </c>
      <c r="G147" s="9" t="n">
        <f aca="false">Cleaned_Prepared_Data!M147</f>
        <v>614024.91</v>
      </c>
    </row>
    <row r="148" customFormat="false" ht="15" hidden="false" customHeight="true" outlineLevel="0" collapsed="false">
      <c r="A148" s="9" t="str">
        <f aca="false">Cleaned_Prepared_Data!A148</f>
        <v>STR-1038</v>
      </c>
      <c r="B148" s="10" t="n">
        <f aca="false">Cleaned_Prepared_Data!B148</f>
        <v>45689</v>
      </c>
      <c r="C148" s="9" t="str">
        <f aca="false">Cleaned_Prepared_Data!D148</f>
        <v>Mall</v>
      </c>
      <c r="D148" s="4" t="n">
        <f aca="false">IF(C148="Airport",1,0)</f>
        <v>0</v>
      </c>
      <c r="E148" s="4" t="n">
        <f aca="false">IF(C148="Mall",1,0)</f>
        <v>1</v>
      </c>
      <c r="F148" s="4" t="n">
        <f aca="false">IF(C148="Residential",1,0)</f>
        <v>0</v>
      </c>
      <c r="G148" s="9" t="n">
        <f aca="false">Cleaned_Prepared_Data!M148</f>
        <v>712868.35</v>
      </c>
    </row>
    <row r="149" customFormat="false" ht="15" hidden="false" customHeight="true" outlineLevel="0" collapsed="false">
      <c r="A149" s="9" t="str">
        <f aca="false">Cleaned_Prepared_Data!A149</f>
        <v>STR-1038</v>
      </c>
      <c r="B149" s="10" t="n">
        <f aca="false">Cleaned_Prepared_Data!B149</f>
        <v>45717</v>
      </c>
      <c r="C149" s="9" t="str">
        <f aca="false">Cleaned_Prepared_Data!D149</f>
        <v>Mall</v>
      </c>
      <c r="D149" s="4" t="n">
        <f aca="false">IF(C149="Airport",1,0)</f>
        <v>0</v>
      </c>
      <c r="E149" s="4" t="n">
        <f aca="false">IF(C149="Mall",1,0)</f>
        <v>1</v>
      </c>
      <c r="F149" s="4" t="n">
        <f aca="false">IF(C149="Residential",1,0)</f>
        <v>0</v>
      </c>
      <c r="G149" s="9" t="n">
        <f aca="false">Cleaned_Prepared_Data!M149</f>
        <v>696744.15</v>
      </c>
    </row>
    <row r="150" customFormat="false" ht="15" hidden="false" customHeight="true" outlineLevel="0" collapsed="false">
      <c r="A150" s="9" t="str">
        <f aca="false">Cleaned_Prepared_Data!A150</f>
        <v>STR-1038</v>
      </c>
      <c r="B150" s="10" t="n">
        <f aca="false">Cleaned_Prepared_Data!B150</f>
        <v>45748</v>
      </c>
      <c r="C150" s="9" t="str">
        <f aca="false">Cleaned_Prepared_Data!D150</f>
        <v>Mall</v>
      </c>
      <c r="D150" s="4" t="n">
        <f aca="false">IF(C150="Airport",1,0)</f>
        <v>0</v>
      </c>
      <c r="E150" s="4" t="n">
        <f aca="false">IF(C150="Mall",1,0)</f>
        <v>1</v>
      </c>
      <c r="F150" s="4" t="n">
        <f aca="false">IF(C150="Residential",1,0)</f>
        <v>0</v>
      </c>
      <c r="G150" s="9" t="n">
        <f aca="false">Cleaned_Prepared_Data!M150</f>
        <v>725847.99</v>
      </c>
    </row>
    <row r="151" customFormat="false" ht="15" hidden="false" customHeight="true" outlineLevel="0" collapsed="false">
      <c r="A151" s="9" t="str">
        <f aca="false">Cleaned_Prepared_Data!A151</f>
        <v>STR-1039</v>
      </c>
      <c r="B151" s="10" t="n">
        <f aca="false">Cleaned_Prepared_Data!B151</f>
        <v>45658</v>
      </c>
      <c r="C151" s="9" t="str">
        <f aca="false">Cleaned_Prepared_Data!D151</f>
        <v>High Street</v>
      </c>
      <c r="D151" s="4" t="n">
        <f aca="false">IF(C151="Airport",1,0)</f>
        <v>0</v>
      </c>
      <c r="E151" s="4" t="n">
        <f aca="false">IF(C151="Mall",1,0)</f>
        <v>0</v>
      </c>
      <c r="F151" s="4" t="n">
        <f aca="false">IF(C151="Residential",1,0)</f>
        <v>0</v>
      </c>
      <c r="G151" s="9" t="n">
        <f aca="false">Cleaned_Prepared_Data!M151</f>
        <v>785028.25</v>
      </c>
    </row>
    <row r="152" customFormat="false" ht="15" hidden="false" customHeight="true" outlineLevel="0" collapsed="false">
      <c r="A152" s="9" t="str">
        <f aca="false">Cleaned_Prepared_Data!A152</f>
        <v>STR-1039</v>
      </c>
      <c r="B152" s="10" t="n">
        <f aca="false">Cleaned_Prepared_Data!B152</f>
        <v>45689</v>
      </c>
      <c r="C152" s="9" t="str">
        <f aca="false">Cleaned_Prepared_Data!D152</f>
        <v>High Street</v>
      </c>
      <c r="D152" s="4" t="n">
        <f aca="false">IF(C152="Airport",1,0)</f>
        <v>0</v>
      </c>
      <c r="E152" s="4" t="n">
        <f aca="false">IF(C152="Mall",1,0)</f>
        <v>0</v>
      </c>
      <c r="F152" s="4" t="n">
        <f aca="false">IF(C152="Residential",1,0)</f>
        <v>0</v>
      </c>
      <c r="G152" s="9" t="n">
        <f aca="false">Cleaned_Prepared_Data!M152</f>
        <v>698492.67</v>
      </c>
    </row>
    <row r="153" customFormat="false" ht="15" hidden="false" customHeight="true" outlineLevel="0" collapsed="false">
      <c r="A153" s="9" t="str">
        <f aca="false">Cleaned_Prepared_Data!A153</f>
        <v>STR-1039</v>
      </c>
      <c r="B153" s="10" t="n">
        <f aca="false">Cleaned_Prepared_Data!B153</f>
        <v>45717</v>
      </c>
      <c r="C153" s="9" t="str">
        <f aca="false">Cleaned_Prepared_Data!D153</f>
        <v>High Street</v>
      </c>
      <c r="D153" s="4" t="n">
        <f aca="false">IF(C153="Airport",1,0)</f>
        <v>0</v>
      </c>
      <c r="E153" s="4" t="n">
        <f aca="false">IF(C153="Mall",1,0)</f>
        <v>0</v>
      </c>
      <c r="F153" s="4" t="n">
        <f aca="false">IF(C153="Residential",1,0)</f>
        <v>0</v>
      </c>
      <c r="G153" s="9" t="n">
        <f aca="false">Cleaned_Prepared_Data!M153</f>
        <v>685830.24</v>
      </c>
    </row>
    <row r="154" customFormat="false" ht="15" hidden="false" customHeight="true" outlineLevel="0" collapsed="false">
      <c r="A154" s="9" t="str">
        <f aca="false">Cleaned_Prepared_Data!A154</f>
        <v>STR-1039</v>
      </c>
      <c r="B154" s="10" t="n">
        <f aca="false">Cleaned_Prepared_Data!B154</f>
        <v>45748</v>
      </c>
      <c r="C154" s="9" t="str">
        <f aca="false">Cleaned_Prepared_Data!D154</f>
        <v>High Street</v>
      </c>
      <c r="D154" s="4" t="n">
        <f aca="false">IF(C154="Airport",1,0)</f>
        <v>0</v>
      </c>
      <c r="E154" s="4" t="n">
        <f aca="false">IF(C154="Mall",1,0)</f>
        <v>0</v>
      </c>
      <c r="F154" s="4" t="n">
        <f aca="false">IF(C154="Residential",1,0)</f>
        <v>0</v>
      </c>
      <c r="G154" s="9" t="n">
        <f aca="false">Cleaned_Prepared_Data!M154</f>
        <v>702318.94</v>
      </c>
    </row>
    <row r="155" customFormat="false" ht="15" hidden="false" customHeight="true" outlineLevel="0" collapsed="false">
      <c r="A155" s="9" t="str">
        <f aca="false">Cleaned_Prepared_Data!A155</f>
        <v>STR-1040</v>
      </c>
      <c r="B155" s="10" t="n">
        <f aca="false">Cleaned_Prepared_Data!B155</f>
        <v>45658</v>
      </c>
      <c r="C155" s="9" t="str">
        <f aca="false">Cleaned_Prepared_Data!D155</f>
        <v>Mall</v>
      </c>
      <c r="D155" s="4" t="n">
        <f aca="false">IF(C155="Airport",1,0)</f>
        <v>0</v>
      </c>
      <c r="E155" s="4" t="n">
        <f aca="false">IF(C155="Mall",1,0)</f>
        <v>1</v>
      </c>
      <c r="F155" s="4" t="n">
        <f aca="false">IF(C155="Residential",1,0)</f>
        <v>0</v>
      </c>
      <c r="G155" s="9" t="n">
        <f aca="false">Cleaned_Prepared_Data!M155</f>
        <v>700078.32</v>
      </c>
    </row>
    <row r="156" customFormat="false" ht="15" hidden="false" customHeight="true" outlineLevel="0" collapsed="false">
      <c r="A156" s="9" t="str">
        <f aca="false">Cleaned_Prepared_Data!A156</f>
        <v>STR-1040</v>
      </c>
      <c r="B156" s="10" t="n">
        <f aca="false">Cleaned_Prepared_Data!B156</f>
        <v>45689</v>
      </c>
      <c r="C156" s="9" t="str">
        <f aca="false">Cleaned_Prepared_Data!D156</f>
        <v>Mall</v>
      </c>
      <c r="D156" s="4" t="n">
        <f aca="false">IF(C156="Airport",1,0)</f>
        <v>0</v>
      </c>
      <c r="E156" s="4" t="n">
        <f aca="false">IF(C156="Mall",1,0)</f>
        <v>1</v>
      </c>
      <c r="F156" s="4" t="n">
        <f aca="false">IF(C156="Residential",1,0)</f>
        <v>0</v>
      </c>
      <c r="G156" s="9" t="n">
        <f aca="false">Cleaned_Prepared_Data!M156</f>
        <v>602002.32</v>
      </c>
    </row>
    <row r="157" customFormat="false" ht="15" hidden="false" customHeight="true" outlineLevel="0" collapsed="false">
      <c r="A157" s="9" t="str">
        <f aca="false">Cleaned_Prepared_Data!A157</f>
        <v>STR-1040</v>
      </c>
      <c r="B157" s="10" t="n">
        <f aca="false">Cleaned_Prepared_Data!B157</f>
        <v>45717</v>
      </c>
      <c r="C157" s="9" t="str">
        <f aca="false">Cleaned_Prepared_Data!D157</f>
        <v>Mall</v>
      </c>
      <c r="D157" s="4" t="n">
        <f aca="false">IF(C157="Airport",1,0)</f>
        <v>0</v>
      </c>
      <c r="E157" s="4" t="n">
        <f aca="false">IF(C157="Mall",1,0)</f>
        <v>1</v>
      </c>
      <c r="F157" s="4" t="n">
        <f aca="false">IF(C157="Residential",1,0)</f>
        <v>0</v>
      </c>
      <c r="G157" s="9" t="n">
        <f aca="false">Cleaned_Prepared_Data!M157</f>
        <v>724216.07</v>
      </c>
    </row>
    <row r="158" customFormat="false" ht="15" hidden="false" customHeight="true" outlineLevel="0" collapsed="false">
      <c r="A158" s="9" t="str">
        <f aca="false">Cleaned_Prepared_Data!A158</f>
        <v>STR-1040</v>
      </c>
      <c r="B158" s="10" t="n">
        <f aca="false">Cleaned_Prepared_Data!B158</f>
        <v>45748</v>
      </c>
      <c r="C158" s="9" t="str">
        <f aca="false">Cleaned_Prepared_Data!D158</f>
        <v>Mall</v>
      </c>
      <c r="D158" s="4" t="n">
        <f aca="false">IF(C158="Airport",1,0)</f>
        <v>0</v>
      </c>
      <c r="E158" s="4" t="n">
        <f aca="false">IF(C158="Mall",1,0)</f>
        <v>1</v>
      </c>
      <c r="F158" s="4" t="n">
        <f aca="false">IF(C158="Residential",1,0)</f>
        <v>0</v>
      </c>
      <c r="G158" s="9" t="n">
        <f aca="false">Cleaned_Prepared_Data!M158</f>
        <v>620973.03</v>
      </c>
    </row>
    <row r="159" customFormat="false" ht="15" hidden="false" customHeight="true" outlineLevel="0" collapsed="false">
      <c r="A159" s="9" t="str">
        <f aca="false">Cleaned_Prepared_Data!A159</f>
        <v>STR-1041</v>
      </c>
      <c r="B159" s="10" t="n">
        <f aca="false">Cleaned_Prepared_Data!B159</f>
        <v>45658</v>
      </c>
      <c r="C159" s="9" t="str">
        <f aca="false">Cleaned_Prepared_Data!D159</f>
        <v>High Street</v>
      </c>
      <c r="D159" s="4" t="n">
        <f aca="false">IF(C159="Airport",1,0)</f>
        <v>0</v>
      </c>
      <c r="E159" s="4" t="n">
        <f aca="false">IF(C159="Mall",1,0)</f>
        <v>0</v>
      </c>
      <c r="F159" s="4" t="n">
        <f aca="false">IF(C159="Residential",1,0)</f>
        <v>0</v>
      </c>
      <c r="G159" s="9" t="n">
        <f aca="false">Cleaned_Prepared_Data!M159</f>
        <v>650480.06</v>
      </c>
    </row>
    <row r="160" customFormat="false" ht="15" hidden="false" customHeight="true" outlineLevel="0" collapsed="false">
      <c r="A160" s="9" t="str">
        <f aca="false">Cleaned_Prepared_Data!A160</f>
        <v>STR-1041</v>
      </c>
      <c r="B160" s="10" t="n">
        <f aca="false">Cleaned_Prepared_Data!B160</f>
        <v>45689</v>
      </c>
      <c r="C160" s="9" t="str">
        <f aca="false">Cleaned_Prepared_Data!D160</f>
        <v>High Street</v>
      </c>
      <c r="D160" s="4" t="n">
        <f aca="false">IF(C160="Airport",1,0)</f>
        <v>0</v>
      </c>
      <c r="E160" s="4" t="n">
        <f aca="false">IF(C160="Mall",1,0)</f>
        <v>0</v>
      </c>
      <c r="F160" s="4" t="n">
        <f aca="false">IF(C160="Residential",1,0)</f>
        <v>0</v>
      </c>
      <c r="G160" s="9" t="n">
        <f aca="false">Cleaned_Prepared_Data!M160</f>
        <v>778298.88</v>
      </c>
    </row>
    <row r="161" customFormat="false" ht="15" hidden="false" customHeight="true" outlineLevel="0" collapsed="false">
      <c r="A161" s="9" t="str">
        <f aca="false">Cleaned_Prepared_Data!A161</f>
        <v>STR-1041</v>
      </c>
      <c r="B161" s="10" t="n">
        <f aca="false">Cleaned_Prepared_Data!B161</f>
        <v>45748</v>
      </c>
      <c r="C161" s="9" t="str">
        <f aca="false">Cleaned_Prepared_Data!D161</f>
        <v>High Street</v>
      </c>
      <c r="D161" s="4" t="n">
        <f aca="false">IF(C161="Airport",1,0)</f>
        <v>0</v>
      </c>
      <c r="E161" s="4" t="n">
        <f aca="false">IF(C161="Mall",1,0)</f>
        <v>0</v>
      </c>
      <c r="F161" s="4" t="n">
        <f aca="false">IF(C161="Residential",1,0)</f>
        <v>0</v>
      </c>
      <c r="G161" s="9" t="n">
        <f aca="false">Cleaned_Prepared_Data!M161</f>
        <v>692008.64</v>
      </c>
    </row>
    <row r="162" customFormat="false" ht="15" hidden="false" customHeight="true" outlineLevel="0" collapsed="false">
      <c r="A162" s="9" t="str">
        <f aca="false">Cleaned_Prepared_Data!A162</f>
        <v>STR-1042</v>
      </c>
      <c r="B162" s="10" t="n">
        <f aca="false">Cleaned_Prepared_Data!B162</f>
        <v>45658</v>
      </c>
      <c r="C162" s="9" t="str">
        <f aca="false">Cleaned_Prepared_Data!D162</f>
        <v>Mall</v>
      </c>
      <c r="D162" s="4" t="n">
        <f aca="false">IF(C162="Airport",1,0)</f>
        <v>0</v>
      </c>
      <c r="E162" s="4" t="n">
        <f aca="false">IF(C162="Mall",1,0)</f>
        <v>1</v>
      </c>
      <c r="F162" s="4" t="n">
        <f aca="false">IF(C162="Residential",1,0)</f>
        <v>0</v>
      </c>
      <c r="G162" s="9" t="n">
        <f aca="false">Cleaned_Prepared_Data!M162</f>
        <v>825797.91</v>
      </c>
    </row>
    <row r="163" customFormat="false" ht="15" hidden="false" customHeight="true" outlineLevel="0" collapsed="false">
      <c r="A163" s="9" t="str">
        <f aca="false">Cleaned_Prepared_Data!A163</f>
        <v>STR-1042</v>
      </c>
      <c r="B163" s="10" t="n">
        <f aca="false">Cleaned_Prepared_Data!B163</f>
        <v>45689</v>
      </c>
      <c r="C163" s="9" t="str">
        <f aca="false">Cleaned_Prepared_Data!D163</f>
        <v>Mall</v>
      </c>
      <c r="D163" s="4" t="n">
        <f aca="false">IF(C163="Airport",1,0)</f>
        <v>0</v>
      </c>
      <c r="E163" s="4" t="n">
        <f aca="false">IF(C163="Mall",1,0)</f>
        <v>1</v>
      </c>
      <c r="F163" s="4" t="n">
        <f aca="false">IF(C163="Residential",1,0)</f>
        <v>0</v>
      </c>
      <c r="G163" s="9" t="n">
        <f aca="false">Cleaned_Prepared_Data!M163</f>
        <v>706285.52</v>
      </c>
    </row>
    <row r="164" customFormat="false" ht="15" hidden="false" customHeight="true" outlineLevel="0" collapsed="false">
      <c r="A164" s="9" t="str">
        <f aca="false">Cleaned_Prepared_Data!A164</f>
        <v>STR-1042</v>
      </c>
      <c r="B164" s="10" t="n">
        <f aca="false">Cleaned_Prepared_Data!B164</f>
        <v>45717</v>
      </c>
      <c r="C164" s="9" t="str">
        <f aca="false">Cleaned_Prepared_Data!D164</f>
        <v>Mall</v>
      </c>
      <c r="D164" s="4" t="n">
        <f aca="false">IF(C164="Airport",1,0)</f>
        <v>0</v>
      </c>
      <c r="E164" s="4" t="n">
        <f aca="false">IF(C164="Mall",1,0)</f>
        <v>1</v>
      </c>
      <c r="F164" s="4" t="n">
        <f aca="false">IF(C164="Residential",1,0)</f>
        <v>0</v>
      </c>
      <c r="G164" s="9" t="n">
        <f aca="false">Cleaned_Prepared_Data!M164</f>
        <v>665534.7</v>
      </c>
    </row>
    <row r="165" customFormat="false" ht="15" hidden="false" customHeight="true" outlineLevel="0" collapsed="false">
      <c r="A165" s="9" t="str">
        <f aca="false">Cleaned_Prepared_Data!A165</f>
        <v>STR-1042</v>
      </c>
      <c r="B165" s="10" t="n">
        <f aca="false">Cleaned_Prepared_Data!B165</f>
        <v>45748</v>
      </c>
      <c r="C165" s="9" t="str">
        <f aca="false">Cleaned_Prepared_Data!D165</f>
        <v>Mall</v>
      </c>
      <c r="D165" s="4" t="n">
        <f aca="false">IF(C165="Airport",1,0)</f>
        <v>0</v>
      </c>
      <c r="E165" s="4" t="n">
        <f aca="false">IF(C165="Mall",1,0)</f>
        <v>1</v>
      </c>
      <c r="F165" s="4" t="n">
        <f aca="false">IF(C165="Residential",1,0)</f>
        <v>0</v>
      </c>
      <c r="G165" s="9" t="n">
        <f aca="false">Cleaned_Prepared_Data!M165</f>
        <v>820729.29</v>
      </c>
    </row>
    <row r="166" customFormat="false" ht="15" hidden="false" customHeight="true" outlineLevel="0" collapsed="false">
      <c r="A166" s="9" t="str">
        <f aca="false">Cleaned_Prepared_Data!A166</f>
        <v>STR-1043</v>
      </c>
      <c r="B166" s="10" t="n">
        <f aca="false">Cleaned_Prepared_Data!B166</f>
        <v>45658</v>
      </c>
      <c r="C166" s="9" t="str">
        <f aca="false">Cleaned_Prepared_Data!D166</f>
        <v>Residential</v>
      </c>
      <c r="D166" s="4" t="n">
        <f aca="false">IF(C166="Airport",1,0)</f>
        <v>0</v>
      </c>
      <c r="E166" s="4" t="n">
        <f aca="false">IF(C166="Mall",1,0)</f>
        <v>0</v>
      </c>
      <c r="F166" s="4" t="n">
        <f aca="false">IF(C166="Residential",1,0)</f>
        <v>1</v>
      </c>
      <c r="G166" s="9" t="n">
        <f aca="false">Cleaned_Prepared_Data!M166</f>
        <v>739831.73</v>
      </c>
    </row>
    <row r="167" customFormat="false" ht="15" hidden="false" customHeight="true" outlineLevel="0" collapsed="false">
      <c r="A167" s="9" t="str">
        <f aca="false">Cleaned_Prepared_Data!A167</f>
        <v>STR-1043</v>
      </c>
      <c r="B167" s="10" t="n">
        <f aca="false">Cleaned_Prepared_Data!B167</f>
        <v>45689</v>
      </c>
      <c r="C167" s="9" t="str">
        <f aca="false">Cleaned_Prepared_Data!D167</f>
        <v>Residential</v>
      </c>
      <c r="D167" s="4" t="n">
        <f aca="false">IF(C167="Airport",1,0)</f>
        <v>0</v>
      </c>
      <c r="E167" s="4" t="n">
        <f aca="false">IF(C167="Mall",1,0)</f>
        <v>0</v>
      </c>
      <c r="F167" s="4" t="n">
        <f aca="false">IF(C167="Residential",1,0)</f>
        <v>1</v>
      </c>
      <c r="G167" s="9" t="n">
        <f aca="false">Cleaned_Prepared_Data!M167</f>
        <v>593637.14</v>
      </c>
    </row>
    <row r="168" customFormat="false" ht="15" hidden="false" customHeight="true" outlineLevel="0" collapsed="false">
      <c r="A168" s="9" t="str">
        <f aca="false">Cleaned_Prepared_Data!A168</f>
        <v>STR-1043</v>
      </c>
      <c r="B168" s="10" t="n">
        <f aca="false">Cleaned_Prepared_Data!B168</f>
        <v>45717</v>
      </c>
      <c r="C168" s="9" t="str">
        <f aca="false">Cleaned_Prepared_Data!D168</f>
        <v>Residential</v>
      </c>
      <c r="D168" s="4" t="n">
        <f aca="false">IF(C168="Airport",1,0)</f>
        <v>0</v>
      </c>
      <c r="E168" s="4" t="n">
        <f aca="false">IF(C168="Mall",1,0)</f>
        <v>0</v>
      </c>
      <c r="F168" s="4" t="n">
        <f aca="false">IF(C168="Residential",1,0)</f>
        <v>1</v>
      </c>
      <c r="G168" s="9" t="n">
        <f aca="false">Cleaned_Prepared_Data!M168</f>
        <v>769702.76</v>
      </c>
    </row>
    <row r="169" customFormat="false" ht="15" hidden="false" customHeight="true" outlineLevel="0" collapsed="false">
      <c r="A169" s="9" t="str">
        <f aca="false">Cleaned_Prepared_Data!A169</f>
        <v>STR-1043</v>
      </c>
      <c r="B169" s="10" t="n">
        <f aca="false">Cleaned_Prepared_Data!B169</f>
        <v>45748</v>
      </c>
      <c r="C169" s="9" t="str">
        <f aca="false">Cleaned_Prepared_Data!D169</f>
        <v>Residential</v>
      </c>
      <c r="D169" s="4" t="n">
        <f aca="false">IF(C169="Airport",1,0)</f>
        <v>0</v>
      </c>
      <c r="E169" s="4" t="n">
        <f aca="false">IF(C169="Mall",1,0)</f>
        <v>0</v>
      </c>
      <c r="F169" s="4" t="n">
        <f aca="false">IF(C169="Residential",1,0)</f>
        <v>1</v>
      </c>
      <c r="G169" s="9" t="n">
        <f aca="false">Cleaned_Prepared_Data!M169</f>
        <v>679731.57</v>
      </c>
    </row>
    <row r="170" customFormat="false" ht="15" hidden="false" customHeight="true" outlineLevel="0" collapsed="false">
      <c r="A170" s="9" t="str">
        <f aca="false">Cleaned_Prepared_Data!A170</f>
        <v>STR-1044</v>
      </c>
      <c r="B170" s="10" t="n">
        <f aca="false">Cleaned_Prepared_Data!B170</f>
        <v>45658</v>
      </c>
      <c r="C170" s="9" t="str">
        <f aca="false">Cleaned_Prepared_Data!D170</f>
        <v>Residential</v>
      </c>
      <c r="D170" s="4" t="n">
        <f aca="false">IF(C170="Airport",1,0)</f>
        <v>0</v>
      </c>
      <c r="E170" s="4" t="n">
        <f aca="false">IF(C170="Mall",1,0)</f>
        <v>0</v>
      </c>
      <c r="F170" s="4" t="n">
        <f aca="false">IF(C170="Residential",1,0)</f>
        <v>1</v>
      </c>
      <c r="G170" s="9" t="n">
        <f aca="false">Cleaned_Prepared_Data!M170</f>
        <v>780344.18</v>
      </c>
    </row>
    <row r="171" customFormat="false" ht="15" hidden="false" customHeight="true" outlineLevel="0" collapsed="false">
      <c r="A171" s="9" t="str">
        <f aca="false">Cleaned_Prepared_Data!A171</f>
        <v>STR-1044</v>
      </c>
      <c r="B171" s="10" t="n">
        <f aca="false">Cleaned_Prepared_Data!B171</f>
        <v>45689</v>
      </c>
      <c r="C171" s="9" t="str">
        <f aca="false">Cleaned_Prepared_Data!D171</f>
        <v>Residential</v>
      </c>
      <c r="D171" s="4" t="n">
        <f aca="false">IF(C171="Airport",1,0)</f>
        <v>0</v>
      </c>
      <c r="E171" s="4" t="n">
        <f aca="false">IF(C171="Mall",1,0)</f>
        <v>0</v>
      </c>
      <c r="F171" s="4" t="n">
        <f aca="false">IF(C171="Residential",1,0)</f>
        <v>1</v>
      </c>
      <c r="G171" s="9" t="n">
        <f aca="false">Cleaned_Prepared_Data!M171</f>
        <v>721364.11</v>
      </c>
    </row>
    <row r="172" customFormat="false" ht="15" hidden="false" customHeight="true" outlineLevel="0" collapsed="false">
      <c r="A172" s="9" t="str">
        <f aca="false">Cleaned_Prepared_Data!A172</f>
        <v>STR-1044</v>
      </c>
      <c r="B172" s="10" t="n">
        <f aca="false">Cleaned_Prepared_Data!B172</f>
        <v>45717</v>
      </c>
      <c r="C172" s="9" t="str">
        <f aca="false">Cleaned_Prepared_Data!D172</f>
        <v>Residential</v>
      </c>
      <c r="D172" s="4" t="n">
        <f aca="false">IF(C172="Airport",1,0)</f>
        <v>0</v>
      </c>
      <c r="E172" s="4" t="n">
        <f aca="false">IF(C172="Mall",1,0)</f>
        <v>0</v>
      </c>
      <c r="F172" s="4" t="n">
        <f aca="false">IF(C172="Residential",1,0)</f>
        <v>1</v>
      </c>
      <c r="G172" s="9" t="n">
        <f aca="false">Cleaned_Prepared_Data!M172</f>
        <v>758138.29</v>
      </c>
    </row>
    <row r="173" customFormat="false" ht="15" hidden="false" customHeight="true" outlineLevel="0" collapsed="false">
      <c r="A173" s="9" t="str">
        <f aca="false">Cleaned_Prepared_Data!A173</f>
        <v>STR-1044</v>
      </c>
      <c r="B173" s="10" t="n">
        <f aca="false">Cleaned_Prepared_Data!B173</f>
        <v>45748</v>
      </c>
      <c r="C173" s="9" t="str">
        <f aca="false">Cleaned_Prepared_Data!D173</f>
        <v>Residential</v>
      </c>
      <c r="D173" s="4" t="n">
        <f aca="false">IF(C173="Airport",1,0)</f>
        <v>0</v>
      </c>
      <c r="E173" s="4" t="n">
        <f aca="false">IF(C173="Mall",1,0)</f>
        <v>0</v>
      </c>
      <c r="F173" s="4" t="n">
        <f aca="false">IF(C173="Residential",1,0)</f>
        <v>1</v>
      </c>
      <c r="G173" s="9" t="n">
        <f aca="false">Cleaned_Prepared_Data!M173</f>
        <v>804264</v>
      </c>
    </row>
    <row r="174" customFormat="false" ht="15" hidden="false" customHeight="true" outlineLevel="0" collapsed="false">
      <c r="A174" s="9" t="str">
        <f aca="false">Cleaned_Prepared_Data!A174</f>
        <v>STR-1045</v>
      </c>
      <c r="B174" s="10" t="n">
        <f aca="false">Cleaned_Prepared_Data!B174</f>
        <v>45658</v>
      </c>
      <c r="C174" s="9" t="str">
        <f aca="false">Cleaned_Prepared_Data!D174</f>
        <v>Airport</v>
      </c>
      <c r="D174" s="4" t="n">
        <f aca="false">IF(C174="Airport",1,0)</f>
        <v>1</v>
      </c>
      <c r="E174" s="4" t="n">
        <f aca="false">IF(C174="Mall",1,0)</f>
        <v>0</v>
      </c>
      <c r="F174" s="4" t="n">
        <f aca="false">IF(C174="Residential",1,0)</f>
        <v>0</v>
      </c>
      <c r="G174" s="9" t="n">
        <f aca="false">Cleaned_Prepared_Data!M174</f>
        <v>887537.75</v>
      </c>
    </row>
    <row r="175" customFormat="false" ht="15" hidden="false" customHeight="true" outlineLevel="0" collapsed="false">
      <c r="A175" s="9" t="str">
        <f aca="false">Cleaned_Prepared_Data!A175</f>
        <v>STR-1045</v>
      </c>
      <c r="B175" s="10" t="n">
        <f aca="false">Cleaned_Prepared_Data!B175</f>
        <v>45689</v>
      </c>
      <c r="C175" s="9" t="str">
        <f aca="false">Cleaned_Prepared_Data!D175</f>
        <v>Airport</v>
      </c>
      <c r="D175" s="4" t="n">
        <f aca="false">IF(C175="Airport",1,0)</f>
        <v>1</v>
      </c>
      <c r="E175" s="4" t="n">
        <f aca="false">IF(C175="Mall",1,0)</f>
        <v>0</v>
      </c>
      <c r="F175" s="4" t="n">
        <f aca="false">IF(C175="Residential",1,0)</f>
        <v>0</v>
      </c>
      <c r="G175" s="9" t="n">
        <f aca="false">Cleaned_Prepared_Data!M175</f>
        <v>783582</v>
      </c>
    </row>
    <row r="176" customFormat="false" ht="15" hidden="false" customHeight="true" outlineLevel="0" collapsed="false">
      <c r="A176" s="9" t="str">
        <f aca="false">Cleaned_Prepared_Data!A176</f>
        <v>STR-1045</v>
      </c>
      <c r="B176" s="10" t="n">
        <f aca="false">Cleaned_Prepared_Data!B176</f>
        <v>45717</v>
      </c>
      <c r="C176" s="9" t="str">
        <f aca="false">Cleaned_Prepared_Data!D176</f>
        <v>Airport</v>
      </c>
      <c r="D176" s="4" t="n">
        <f aca="false">IF(C176="Airport",1,0)</f>
        <v>1</v>
      </c>
      <c r="E176" s="4" t="n">
        <f aca="false">IF(C176="Mall",1,0)</f>
        <v>0</v>
      </c>
      <c r="F176" s="4" t="n">
        <f aca="false">IF(C176="Residential",1,0)</f>
        <v>0</v>
      </c>
      <c r="G176" s="9" t="n">
        <f aca="false">Cleaned_Prepared_Data!M176</f>
        <v>781955.52</v>
      </c>
    </row>
    <row r="177" customFormat="false" ht="15" hidden="false" customHeight="true" outlineLevel="0" collapsed="false">
      <c r="A177" s="9" t="str">
        <f aca="false">Cleaned_Prepared_Data!A177</f>
        <v>STR-1045</v>
      </c>
      <c r="B177" s="10" t="n">
        <f aca="false">Cleaned_Prepared_Data!B177</f>
        <v>45748</v>
      </c>
      <c r="C177" s="9" t="str">
        <f aca="false">Cleaned_Prepared_Data!D177</f>
        <v>Airport</v>
      </c>
      <c r="D177" s="4" t="n">
        <f aca="false">IF(C177="Airport",1,0)</f>
        <v>1</v>
      </c>
      <c r="E177" s="4" t="n">
        <f aca="false">IF(C177="Mall",1,0)</f>
        <v>0</v>
      </c>
      <c r="F177" s="4" t="n">
        <f aca="false">IF(C177="Residential",1,0)</f>
        <v>0</v>
      </c>
      <c r="G177" s="9" t="n">
        <f aca="false">Cleaned_Prepared_Data!M177</f>
        <v>898031.04</v>
      </c>
    </row>
    <row r="178" customFormat="false" ht="15" hidden="false" customHeight="true" outlineLevel="0" collapsed="false">
      <c r="A178" s="9" t="str">
        <f aca="false">Cleaned_Prepared_Data!A178</f>
        <v>STR-1046</v>
      </c>
      <c r="B178" s="10" t="n">
        <f aca="false">Cleaned_Prepared_Data!B178</f>
        <v>45658</v>
      </c>
      <c r="C178" s="9" t="str">
        <f aca="false">Cleaned_Prepared_Data!D178</f>
        <v>Residential</v>
      </c>
      <c r="D178" s="4" t="n">
        <f aca="false">IF(C178="Airport",1,0)</f>
        <v>0</v>
      </c>
      <c r="E178" s="4" t="n">
        <f aca="false">IF(C178="Mall",1,0)</f>
        <v>0</v>
      </c>
      <c r="F178" s="4" t="n">
        <f aca="false">IF(C178="Residential",1,0)</f>
        <v>1</v>
      </c>
      <c r="G178" s="9" t="n">
        <f aca="false">Cleaned_Prepared_Data!M178</f>
        <v>855341.28</v>
      </c>
    </row>
    <row r="179" customFormat="false" ht="15" hidden="false" customHeight="true" outlineLevel="0" collapsed="false">
      <c r="A179" s="9" t="str">
        <f aca="false">Cleaned_Prepared_Data!A179</f>
        <v>STR-1046</v>
      </c>
      <c r="B179" s="10" t="n">
        <f aca="false">Cleaned_Prepared_Data!B179</f>
        <v>45689</v>
      </c>
      <c r="C179" s="9" t="str">
        <f aca="false">Cleaned_Prepared_Data!D179</f>
        <v>Residential</v>
      </c>
      <c r="D179" s="4" t="n">
        <f aca="false">IF(C179="Airport",1,0)</f>
        <v>0</v>
      </c>
      <c r="E179" s="4" t="n">
        <f aca="false">IF(C179="Mall",1,0)</f>
        <v>0</v>
      </c>
      <c r="F179" s="4" t="n">
        <f aca="false">IF(C179="Residential",1,0)</f>
        <v>1</v>
      </c>
      <c r="G179" s="9" t="n">
        <f aca="false">Cleaned_Prepared_Data!M179</f>
        <v>751393.88</v>
      </c>
    </row>
    <row r="180" customFormat="false" ht="15" hidden="false" customHeight="true" outlineLevel="0" collapsed="false">
      <c r="A180" s="9" t="str">
        <f aca="false">Cleaned_Prepared_Data!A180</f>
        <v>STR-1046</v>
      </c>
      <c r="B180" s="10" t="n">
        <f aca="false">Cleaned_Prepared_Data!B180</f>
        <v>45717</v>
      </c>
      <c r="C180" s="9" t="str">
        <f aca="false">Cleaned_Prepared_Data!D180</f>
        <v>Residential</v>
      </c>
      <c r="D180" s="4" t="n">
        <f aca="false">IF(C180="Airport",1,0)</f>
        <v>0</v>
      </c>
      <c r="E180" s="4" t="n">
        <f aca="false">IF(C180="Mall",1,0)</f>
        <v>0</v>
      </c>
      <c r="F180" s="4" t="n">
        <f aca="false">IF(C180="Residential",1,0)</f>
        <v>1</v>
      </c>
      <c r="G180" s="9" t="n">
        <f aca="false">Cleaned_Prepared_Data!M180</f>
        <v>761077.08</v>
      </c>
    </row>
    <row r="181" customFormat="false" ht="15" hidden="false" customHeight="true" outlineLevel="0" collapsed="false">
      <c r="A181" s="9" t="str">
        <f aca="false">Cleaned_Prepared_Data!A181</f>
        <v>STR-1046</v>
      </c>
      <c r="B181" s="10" t="n">
        <f aca="false">Cleaned_Prepared_Data!B181</f>
        <v>45748</v>
      </c>
      <c r="C181" s="9" t="str">
        <f aca="false">Cleaned_Prepared_Data!D181</f>
        <v>Residential</v>
      </c>
      <c r="D181" s="4" t="n">
        <f aca="false">IF(C181="Airport",1,0)</f>
        <v>0</v>
      </c>
      <c r="E181" s="4" t="n">
        <f aca="false">IF(C181="Mall",1,0)</f>
        <v>0</v>
      </c>
      <c r="F181" s="4" t="n">
        <f aca="false">IF(C181="Residential",1,0)</f>
        <v>1</v>
      </c>
      <c r="G181" s="9" t="n">
        <f aca="false">Cleaned_Prepared_Data!M181</f>
        <v>819660.59</v>
      </c>
    </row>
    <row r="182" customFormat="false" ht="15" hidden="false" customHeight="true" outlineLevel="0" collapsed="false">
      <c r="A182" s="9" t="str">
        <f aca="false">Cleaned_Prepared_Data!A182</f>
        <v>STR-1047</v>
      </c>
      <c r="B182" s="10" t="n">
        <f aca="false">Cleaned_Prepared_Data!B182</f>
        <v>45658</v>
      </c>
      <c r="C182" s="9" t="str">
        <f aca="false">Cleaned_Prepared_Data!D182</f>
        <v>High Street</v>
      </c>
      <c r="D182" s="4" t="n">
        <f aca="false">IF(C182="Airport",1,0)</f>
        <v>0</v>
      </c>
      <c r="E182" s="4" t="n">
        <f aca="false">IF(C182="Mall",1,0)</f>
        <v>0</v>
      </c>
      <c r="F182" s="4" t="n">
        <f aca="false">IF(C182="Residential",1,0)</f>
        <v>0</v>
      </c>
      <c r="G182" s="9" t="n">
        <f aca="false">Cleaned_Prepared_Data!M182</f>
        <v>681855.56</v>
      </c>
    </row>
    <row r="183" customFormat="false" ht="15" hidden="false" customHeight="true" outlineLevel="0" collapsed="false">
      <c r="A183" s="9" t="str">
        <f aca="false">Cleaned_Prepared_Data!A183</f>
        <v>STR-1047</v>
      </c>
      <c r="B183" s="10" t="n">
        <f aca="false">Cleaned_Prepared_Data!B183</f>
        <v>45689</v>
      </c>
      <c r="C183" s="9" t="str">
        <f aca="false">Cleaned_Prepared_Data!D183</f>
        <v>High Street</v>
      </c>
      <c r="D183" s="4" t="n">
        <f aca="false">IF(C183="Airport",1,0)</f>
        <v>0</v>
      </c>
      <c r="E183" s="4" t="n">
        <f aca="false">IF(C183="Mall",1,0)</f>
        <v>0</v>
      </c>
      <c r="F183" s="4" t="n">
        <f aca="false">IF(C183="Residential",1,0)</f>
        <v>0</v>
      </c>
      <c r="G183" s="9" t="n">
        <f aca="false">Cleaned_Prepared_Data!M183</f>
        <v>678311.17</v>
      </c>
    </row>
    <row r="184" customFormat="false" ht="15" hidden="false" customHeight="true" outlineLevel="0" collapsed="false">
      <c r="A184" s="9" t="str">
        <f aca="false">Cleaned_Prepared_Data!A184</f>
        <v>STR-1047</v>
      </c>
      <c r="B184" s="10" t="n">
        <f aca="false">Cleaned_Prepared_Data!B184</f>
        <v>45717</v>
      </c>
      <c r="C184" s="9" t="str">
        <f aca="false">Cleaned_Prepared_Data!D184</f>
        <v>High Street</v>
      </c>
      <c r="D184" s="4" t="n">
        <f aca="false">IF(C184="Airport",1,0)</f>
        <v>0</v>
      </c>
      <c r="E184" s="4" t="n">
        <f aca="false">IF(C184="Mall",1,0)</f>
        <v>0</v>
      </c>
      <c r="F184" s="4" t="n">
        <f aca="false">IF(C184="Residential",1,0)</f>
        <v>0</v>
      </c>
      <c r="G184" s="9" t="n">
        <f aca="false">Cleaned_Prepared_Data!M184</f>
        <v>765906.95</v>
      </c>
    </row>
    <row r="185" customFormat="false" ht="15" hidden="false" customHeight="true" outlineLevel="0" collapsed="false">
      <c r="A185" s="9" t="str">
        <f aca="false">Cleaned_Prepared_Data!A185</f>
        <v>STR-1047</v>
      </c>
      <c r="B185" s="10" t="n">
        <f aca="false">Cleaned_Prepared_Data!B185</f>
        <v>45748</v>
      </c>
      <c r="C185" s="9" t="str">
        <f aca="false">Cleaned_Prepared_Data!D185</f>
        <v>High Street</v>
      </c>
      <c r="D185" s="4" t="n">
        <f aca="false">IF(C185="Airport",1,0)</f>
        <v>0</v>
      </c>
      <c r="E185" s="4" t="n">
        <f aca="false">IF(C185="Mall",1,0)</f>
        <v>0</v>
      </c>
      <c r="F185" s="4" t="n">
        <f aca="false">IF(C185="Residential",1,0)</f>
        <v>0</v>
      </c>
      <c r="G185" s="9" t="n">
        <f aca="false">Cleaned_Prepared_Data!M185</f>
        <v>712546.38</v>
      </c>
    </row>
    <row r="186" customFormat="false" ht="15" hidden="false" customHeight="true" outlineLevel="0" collapsed="false">
      <c r="A186" s="9" t="str">
        <f aca="false">Cleaned_Prepared_Data!A186</f>
        <v>STR-1048</v>
      </c>
      <c r="B186" s="10" t="n">
        <f aca="false">Cleaned_Prepared_Data!B186</f>
        <v>45658</v>
      </c>
      <c r="C186" s="9" t="str">
        <f aca="false">Cleaned_Prepared_Data!D186</f>
        <v>High Street</v>
      </c>
      <c r="D186" s="4" t="n">
        <f aca="false">IF(C186="Airport",1,0)</f>
        <v>0</v>
      </c>
      <c r="E186" s="4" t="n">
        <f aca="false">IF(C186="Mall",1,0)</f>
        <v>0</v>
      </c>
      <c r="F186" s="4" t="n">
        <f aca="false">IF(C186="Residential",1,0)</f>
        <v>0</v>
      </c>
      <c r="G186" s="9" t="n">
        <f aca="false">Cleaned_Prepared_Data!M186</f>
        <v>625993.83</v>
      </c>
    </row>
    <row r="187" customFormat="false" ht="15" hidden="false" customHeight="true" outlineLevel="0" collapsed="false">
      <c r="A187" s="9" t="str">
        <f aca="false">Cleaned_Prepared_Data!A187</f>
        <v>STR-1048</v>
      </c>
      <c r="B187" s="10" t="n">
        <f aca="false">Cleaned_Prepared_Data!B187</f>
        <v>45689</v>
      </c>
      <c r="C187" s="9" t="str">
        <f aca="false">Cleaned_Prepared_Data!D187</f>
        <v>High Street</v>
      </c>
      <c r="D187" s="4" t="n">
        <f aca="false">IF(C187="Airport",1,0)</f>
        <v>0</v>
      </c>
      <c r="E187" s="4" t="n">
        <f aca="false">IF(C187="Mall",1,0)</f>
        <v>0</v>
      </c>
      <c r="F187" s="4" t="n">
        <f aca="false">IF(C187="Residential",1,0)</f>
        <v>0</v>
      </c>
      <c r="G187" s="9" t="n">
        <f aca="false">Cleaned_Prepared_Data!M187</f>
        <v>550962.93</v>
      </c>
    </row>
    <row r="188" customFormat="false" ht="15" hidden="false" customHeight="true" outlineLevel="0" collapsed="false">
      <c r="A188" s="9" t="str">
        <f aca="false">Cleaned_Prepared_Data!A188</f>
        <v>STR-1048</v>
      </c>
      <c r="B188" s="10" t="n">
        <f aca="false">Cleaned_Prepared_Data!B188</f>
        <v>45717</v>
      </c>
      <c r="C188" s="9" t="str">
        <f aca="false">Cleaned_Prepared_Data!D188</f>
        <v>High Street</v>
      </c>
      <c r="D188" s="4" t="n">
        <f aca="false">IF(C188="Airport",1,0)</f>
        <v>0</v>
      </c>
      <c r="E188" s="4" t="n">
        <f aca="false">IF(C188="Mall",1,0)</f>
        <v>0</v>
      </c>
      <c r="F188" s="4" t="n">
        <f aca="false">IF(C188="Residential",1,0)</f>
        <v>0</v>
      </c>
      <c r="G188" s="9" t="n">
        <f aca="false">Cleaned_Prepared_Data!M188</f>
        <v>443275.59</v>
      </c>
    </row>
    <row r="189" customFormat="false" ht="15" hidden="false" customHeight="true" outlineLevel="0" collapsed="false">
      <c r="A189" s="9" t="str">
        <f aca="false">Cleaned_Prepared_Data!A189</f>
        <v>STR-1048</v>
      </c>
      <c r="B189" s="10" t="n">
        <f aca="false">Cleaned_Prepared_Data!B189</f>
        <v>45748</v>
      </c>
      <c r="C189" s="9" t="str">
        <f aca="false">Cleaned_Prepared_Data!D189</f>
        <v>High Street</v>
      </c>
      <c r="D189" s="4" t="n">
        <f aca="false">IF(C189="Airport",1,0)</f>
        <v>0</v>
      </c>
      <c r="E189" s="4" t="n">
        <f aca="false">IF(C189="Mall",1,0)</f>
        <v>0</v>
      </c>
      <c r="F189" s="4" t="n">
        <f aca="false">IF(C189="Residential",1,0)</f>
        <v>0</v>
      </c>
      <c r="G189" s="9" t="n">
        <f aca="false">Cleaned_Prepared_Data!M189</f>
        <v>554012.07</v>
      </c>
    </row>
    <row r="190" customFormat="false" ht="15" hidden="false" customHeight="true" outlineLevel="0" collapsed="false">
      <c r="A190" s="9" t="str">
        <f aca="false">Cleaned_Prepared_Data!A190</f>
        <v>STR-1049</v>
      </c>
      <c r="B190" s="10" t="n">
        <f aca="false">Cleaned_Prepared_Data!B190</f>
        <v>45658</v>
      </c>
      <c r="C190" s="9" t="str">
        <f aca="false">Cleaned_Prepared_Data!D190</f>
        <v>Residential</v>
      </c>
      <c r="D190" s="4" t="n">
        <f aca="false">IF(C190="Airport",1,0)</f>
        <v>0</v>
      </c>
      <c r="E190" s="4" t="n">
        <f aca="false">IF(C190="Mall",1,0)</f>
        <v>0</v>
      </c>
      <c r="F190" s="4" t="n">
        <f aca="false">IF(C190="Residential",1,0)</f>
        <v>1</v>
      </c>
      <c r="G190" s="9" t="n">
        <f aca="false">Cleaned_Prepared_Data!M190</f>
        <v>643428.85</v>
      </c>
    </row>
    <row r="191" customFormat="false" ht="15" hidden="false" customHeight="true" outlineLevel="0" collapsed="false">
      <c r="A191" s="9" t="str">
        <f aca="false">Cleaned_Prepared_Data!A191</f>
        <v>STR-1049</v>
      </c>
      <c r="B191" s="10" t="n">
        <f aca="false">Cleaned_Prepared_Data!B191</f>
        <v>45689</v>
      </c>
      <c r="C191" s="9" t="str">
        <f aca="false">Cleaned_Prepared_Data!D191</f>
        <v>Residential</v>
      </c>
      <c r="D191" s="4" t="n">
        <f aca="false">IF(C191="Airport",1,0)</f>
        <v>0</v>
      </c>
      <c r="E191" s="4" t="n">
        <f aca="false">IF(C191="Mall",1,0)</f>
        <v>0</v>
      </c>
      <c r="F191" s="4" t="n">
        <f aca="false">IF(C191="Residential",1,0)</f>
        <v>1</v>
      </c>
      <c r="G191" s="9" t="n">
        <f aca="false">Cleaned_Prepared_Data!M191</f>
        <v>611924.27</v>
      </c>
    </row>
    <row r="192" customFormat="false" ht="15" hidden="false" customHeight="true" outlineLevel="0" collapsed="false">
      <c r="A192" s="9" t="str">
        <f aca="false">Cleaned_Prepared_Data!A192</f>
        <v>STR-1049</v>
      </c>
      <c r="B192" s="10" t="n">
        <f aca="false">Cleaned_Prepared_Data!B192</f>
        <v>45717</v>
      </c>
      <c r="C192" s="9" t="str">
        <f aca="false">Cleaned_Prepared_Data!D192</f>
        <v>Residential</v>
      </c>
      <c r="D192" s="4" t="n">
        <f aca="false">IF(C192="Airport",1,0)</f>
        <v>0</v>
      </c>
      <c r="E192" s="4" t="n">
        <f aca="false">IF(C192="Mall",1,0)</f>
        <v>0</v>
      </c>
      <c r="F192" s="4" t="n">
        <f aca="false">IF(C192="Residential",1,0)</f>
        <v>1</v>
      </c>
      <c r="G192" s="9" t="n">
        <f aca="false">Cleaned_Prepared_Data!M192</f>
        <v>559422.02</v>
      </c>
    </row>
    <row r="193" customFormat="false" ht="15" hidden="false" customHeight="true" outlineLevel="0" collapsed="false">
      <c r="A193" s="9" t="str">
        <f aca="false">Cleaned_Prepared_Data!A193</f>
        <v>STR-1050</v>
      </c>
      <c r="B193" s="10" t="n">
        <f aca="false">Cleaned_Prepared_Data!B193</f>
        <v>45658</v>
      </c>
      <c r="C193" s="9" t="str">
        <f aca="false">Cleaned_Prepared_Data!D193</f>
        <v>Residential</v>
      </c>
      <c r="D193" s="4" t="n">
        <f aca="false">IF(C193="Airport",1,0)</f>
        <v>0</v>
      </c>
      <c r="E193" s="4" t="n">
        <f aca="false">IF(C193="Mall",1,0)</f>
        <v>0</v>
      </c>
      <c r="F193" s="4" t="n">
        <f aca="false">IF(C193="Residential",1,0)</f>
        <v>1</v>
      </c>
      <c r="G193" s="9" t="n">
        <f aca="false">Cleaned_Prepared_Data!M193</f>
        <v>691447.43</v>
      </c>
    </row>
    <row r="194" customFormat="false" ht="15" hidden="false" customHeight="true" outlineLevel="0" collapsed="false">
      <c r="A194" s="9" t="str">
        <f aca="false">Cleaned_Prepared_Data!A194</f>
        <v>STR-1050</v>
      </c>
      <c r="B194" s="10" t="n">
        <f aca="false">Cleaned_Prepared_Data!B194</f>
        <v>45689</v>
      </c>
      <c r="C194" s="9" t="str">
        <f aca="false">Cleaned_Prepared_Data!D194</f>
        <v>Residential</v>
      </c>
      <c r="D194" s="4" t="n">
        <f aca="false">IF(C194="Airport",1,0)</f>
        <v>0</v>
      </c>
      <c r="E194" s="4" t="n">
        <f aca="false">IF(C194="Mall",1,0)</f>
        <v>0</v>
      </c>
      <c r="F194" s="4" t="n">
        <f aca="false">IF(C194="Residential",1,0)</f>
        <v>1</v>
      </c>
      <c r="G194" s="9" t="n">
        <f aca="false">Cleaned_Prepared_Data!M194</f>
        <v>574066.61</v>
      </c>
    </row>
    <row r="195" customFormat="false" ht="15" hidden="false" customHeight="true" outlineLevel="0" collapsed="false">
      <c r="A195" s="9" t="str">
        <f aca="false">Cleaned_Prepared_Data!A195</f>
        <v>STR-1050</v>
      </c>
      <c r="B195" s="10" t="n">
        <f aca="false">Cleaned_Prepared_Data!B195</f>
        <v>45717</v>
      </c>
      <c r="C195" s="9" t="str">
        <f aca="false">Cleaned_Prepared_Data!D195</f>
        <v>Residential</v>
      </c>
      <c r="D195" s="4" t="n">
        <f aca="false">IF(C195="Airport",1,0)</f>
        <v>0</v>
      </c>
      <c r="E195" s="4" t="n">
        <f aca="false">IF(C195="Mall",1,0)</f>
        <v>0</v>
      </c>
      <c r="F195" s="4" t="n">
        <f aca="false">IF(C195="Residential",1,0)</f>
        <v>1</v>
      </c>
      <c r="G195" s="9" t="n">
        <f aca="false">Cleaned_Prepared_Data!M195</f>
        <v>578949.84</v>
      </c>
    </row>
    <row r="196" customFormat="false" ht="15" hidden="false" customHeight="true" outlineLevel="0" collapsed="false">
      <c r="A196" s="9" t="str">
        <f aca="false">Cleaned_Prepared_Data!A196</f>
        <v>STR-1050</v>
      </c>
      <c r="B196" s="10" t="n">
        <f aca="false">Cleaned_Prepared_Data!B196</f>
        <v>45748</v>
      </c>
      <c r="C196" s="9" t="str">
        <f aca="false">Cleaned_Prepared_Data!D196</f>
        <v>Residential</v>
      </c>
      <c r="D196" s="4" t="n">
        <f aca="false">IF(C196="Airport",1,0)</f>
        <v>0</v>
      </c>
      <c r="E196" s="4" t="n">
        <f aca="false">IF(C196="Mall",1,0)</f>
        <v>0</v>
      </c>
      <c r="F196" s="4" t="n">
        <f aca="false">IF(C196="Residential",1,0)</f>
        <v>1</v>
      </c>
      <c r="G196" s="9" t="n">
        <f aca="false">Cleaned_Prepared_Data!M196</f>
        <v>735786.64</v>
      </c>
    </row>
    <row r="197" customFormat="false" ht="15" hidden="false" customHeight="true" outlineLevel="0" collapsed="false">
      <c r="A197" s="9" t="str">
        <f aca="false">Cleaned_Prepared_Data!A197</f>
        <v>STR-1051</v>
      </c>
      <c r="B197" s="10" t="n">
        <f aca="false">Cleaned_Prepared_Data!B197</f>
        <v>45658</v>
      </c>
      <c r="C197" s="9" t="str">
        <f aca="false">Cleaned_Prepared_Data!D197</f>
        <v>Airport</v>
      </c>
      <c r="D197" s="4" t="n">
        <f aca="false">IF(C197="Airport",1,0)</f>
        <v>1</v>
      </c>
      <c r="E197" s="4" t="n">
        <f aca="false">IF(C197="Mall",1,0)</f>
        <v>0</v>
      </c>
      <c r="F197" s="4" t="n">
        <f aca="false">IF(C197="Residential",1,0)</f>
        <v>0</v>
      </c>
      <c r="G197" s="9" t="n">
        <f aca="false">Cleaned_Prepared_Data!M197</f>
        <v>598904.9</v>
      </c>
    </row>
    <row r="198" customFormat="false" ht="15" hidden="false" customHeight="true" outlineLevel="0" collapsed="false">
      <c r="A198" s="9" t="str">
        <f aca="false">Cleaned_Prepared_Data!A198</f>
        <v>STR-1051</v>
      </c>
      <c r="B198" s="10" t="n">
        <f aca="false">Cleaned_Prepared_Data!B198</f>
        <v>45689</v>
      </c>
      <c r="C198" s="9" t="str">
        <f aca="false">Cleaned_Prepared_Data!D198</f>
        <v>Airport</v>
      </c>
      <c r="D198" s="4" t="n">
        <f aca="false">IF(C198="Airport",1,0)</f>
        <v>1</v>
      </c>
      <c r="E198" s="4" t="n">
        <f aca="false">IF(C198="Mall",1,0)</f>
        <v>0</v>
      </c>
      <c r="F198" s="4" t="n">
        <f aca="false">IF(C198="Residential",1,0)</f>
        <v>0</v>
      </c>
      <c r="G198" s="9" t="n">
        <f aca="false">Cleaned_Prepared_Data!M198</f>
        <v>787715.51</v>
      </c>
    </row>
    <row r="199" customFormat="false" ht="15" hidden="false" customHeight="true" outlineLevel="0" collapsed="false">
      <c r="A199" s="9" t="str">
        <f aca="false">Cleaned_Prepared_Data!A199</f>
        <v>STR-1051</v>
      </c>
      <c r="B199" s="10" t="n">
        <f aca="false">Cleaned_Prepared_Data!B199</f>
        <v>45717</v>
      </c>
      <c r="C199" s="9" t="str">
        <f aca="false">Cleaned_Prepared_Data!D199</f>
        <v>Airport</v>
      </c>
      <c r="D199" s="4" t="n">
        <f aca="false">IF(C199="Airport",1,0)</f>
        <v>1</v>
      </c>
      <c r="E199" s="4" t="n">
        <f aca="false">IF(C199="Mall",1,0)</f>
        <v>0</v>
      </c>
      <c r="F199" s="4" t="n">
        <f aca="false">IF(C199="Residential",1,0)</f>
        <v>0</v>
      </c>
      <c r="G199" s="9" t="n">
        <f aca="false">Cleaned_Prepared_Data!M199</f>
        <v>607084.92</v>
      </c>
    </row>
    <row r="200" customFormat="false" ht="15" hidden="false" customHeight="true" outlineLevel="0" collapsed="false">
      <c r="A200" s="9" t="str">
        <f aca="false">Cleaned_Prepared_Data!A200</f>
        <v>STR-1051</v>
      </c>
      <c r="B200" s="10" t="n">
        <f aca="false">Cleaned_Prepared_Data!B200</f>
        <v>45748</v>
      </c>
      <c r="C200" s="9" t="str">
        <f aca="false">Cleaned_Prepared_Data!D200</f>
        <v>Airport</v>
      </c>
      <c r="D200" s="4" t="n">
        <f aca="false">IF(C200="Airport",1,0)</f>
        <v>1</v>
      </c>
      <c r="E200" s="4" t="n">
        <f aca="false">IF(C200="Mall",1,0)</f>
        <v>0</v>
      </c>
      <c r="F200" s="4" t="n">
        <f aca="false">IF(C200="Residential",1,0)</f>
        <v>0</v>
      </c>
      <c r="G200" s="9" t="n">
        <f aca="false">Cleaned_Prepared_Data!M200</f>
        <v>650795.49</v>
      </c>
    </row>
    <row r="201" customFormat="false" ht="15" hidden="false" customHeight="true" outlineLevel="0" collapsed="false">
      <c r="A201" s="9" t="str">
        <f aca="false">Cleaned_Prepared_Data!A201</f>
        <v>STR-1052</v>
      </c>
      <c r="B201" s="10" t="n">
        <f aca="false">Cleaned_Prepared_Data!B201</f>
        <v>45658</v>
      </c>
      <c r="C201" s="9" t="str">
        <f aca="false">Cleaned_Prepared_Data!D201</f>
        <v>Mall</v>
      </c>
      <c r="D201" s="4" t="n">
        <f aca="false">IF(C201="Airport",1,0)</f>
        <v>0</v>
      </c>
      <c r="E201" s="4" t="n">
        <f aca="false">IF(C201="Mall",1,0)</f>
        <v>1</v>
      </c>
      <c r="F201" s="4" t="n">
        <f aca="false">IF(C201="Residential",1,0)</f>
        <v>0</v>
      </c>
      <c r="G201" s="9" t="n">
        <f aca="false">Cleaned_Prepared_Data!M201</f>
        <v>825060.52</v>
      </c>
    </row>
    <row r="202" customFormat="false" ht="15" hidden="false" customHeight="true" outlineLevel="0" collapsed="false">
      <c r="A202" s="9" t="str">
        <f aca="false">Cleaned_Prepared_Data!A202</f>
        <v>STR-1052</v>
      </c>
      <c r="B202" s="10" t="n">
        <f aca="false">Cleaned_Prepared_Data!B202</f>
        <v>45689</v>
      </c>
      <c r="C202" s="9" t="str">
        <f aca="false">Cleaned_Prepared_Data!D202</f>
        <v>Mall</v>
      </c>
      <c r="D202" s="4" t="n">
        <f aca="false">IF(C202="Airport",1,0)</f>
        <v>0</v>
      </c>
      <c r="E202" s="4" t="n">
        <f aca="false">IF(C202="Mall",1,0)</f>
        <v>1</v>
      </c>
      <c r="F202" s="4" t="n">
        <f aca="false">IF(C202="Residential",1,0)</f>
        <v>0</v>
      </c>
      <c r="G202" s="9" t="n">
        <f aca="false">Cleaned_Prepared_Data!M202</f>
        <v>795464.47</v>
      </c>
    </row>
    <row r="203" customFormat="false" ht="15" hidden="false" customHeight="true" outlineLevel="0" collapsed="false">
      <c r="A203" s="9" t="str">
        <f aca="false">Cleaned_Prepared_Data!A203</f>
        <v>STR-1052</v>
      </c>
      <c r="B203" s="10" t="n">
        <f aca="false">Cleaned_Prepared_Data!B203</f>
        <v>45717</v>
      </c>
      <c r="C203" s="9" t="str">
        <f aca="false">Cleaned_Prepared_Data!D203</f>
        <v>Mall</v>
      </c>
      <c r="D203" s="4" t="n">
        <f aca="false">IF(C203="Airport",1,0)</f>
        <v>0</v>
      </c>
      <c r="E203" s="4" t="n">
        <f aca="false">IF(C203="Mall",1,0)</f>
        <v>1</v>
      </c>
      <c r="F203" s="4" t="n">
        <f aca="false">IF(C203="Residential",1,0)</f>
        <v>0</v>
      </c>
      <c r="G203" s="9" t="n">
        <f aca="false">Cleaned_Prepared_Data!M203</f>
        <v>671868.59</v>
      </c>
    </row>
    <row r="204" customFormat="false" ht="15" hidden="false" customHeight="true" outlineLevel="0" collapsed="false">
      <c r="A204" s="9" t="str">
        <f aca="false">Cleaned_Prepared_Data!A204</f>
        <v>STR-1052</v>
      </c>
      <c r="B204" s="10" t="n">
        <f aca="false">Cleaned_Prepared_Data!B204</f>
        <v>45748</v>
      </c>
      <c r="C204" s="9" t="str">
        <f aca="false">Cleaned_Prepared_Data!D204</f>
        <v>Mall</v>
      </c>
      <c r="D204" s="4" t="n">
        <f aca="false">IF(C204="Airport",1,0)</f>
        <v>0</v>
      </c>
      <c r="E204" s="4" t="n">
        <f aca="false">IF(C204="Mall",1,0)</f>
        <v>1</v>
      </c>
      <c r="F204" s="4" t="n">
        <f aca="false">IF(C204="Residential",1,0)</f>
        <v>0</v>
      </c>
      <c r="G204" s="9" t="n">
        <f aca="false">Cleaned_Prepared_Data!M204</f>
        <v>675917.63</v>
      </c>
    </row>
    <row r="205" customFormat="false" ht="15" hidden="false" customHeight="true" outlineLevel="0" collapsed="false">
      <c r="A205" s="9" t="str">
        <f aca="false">Cleaned_Prepared_Data!A205</f>
        <v>STR-1053</v>
      </c>
      <c r="B205" s="10" t="n">
        <f aca="false">Cleaned_Prepared_Data!B205</f>
        <v>45658</v>
      </c>
      <c r="C205" s="9" t="str">
        <f aca="false">Cleaned_Prepared_Data!D205</f>
        <v>High Street</v>
      </c>
      <c r="D205" s="4" t="n">
        <f aca="false">IF(C205="Airport",1,0)</f>
        <v>0</v>
      </c>
      <c r="E205" s="4" t="n">
        <f aca="false">IF(C205="Mall",1,0)</f>
        <v>0</v>
      </c>
      <c r="F205" s="4" t="n">
        <f aca="false">IF(C205="Residential",1,0)</f>
        <v>0</v>
      </c>
      <c r="G205" s="9" t="n">
        <f aca="false">Cleaned_Prepared_Data!M205</f>
        <v>810446.53</v>
      </c>
    </row>
    <row r="206" customFormat="false" ht="15" hidden="false" customHeight="true" outlineLevel="0" collapsed="false">
      <c r="A206" s="9" t="str">
        <f aca="false">Cleaned_Prepared_Data!A206</f>
        <v>STR-1053</v>
      </c>
      <c r="B206" s="10" t="n">
        <f aca="false">Cleaned_Prepared_Data!B206</f>
        <v>45689</v>
      </c>
      <c r="C206" s="9" t="str">
        <f aca="false">Cleaned_Prepared_Data!D206</f>
        <v>High Street</v>
      </c>
      <c r="D206" s="4" t="n">
        <f aca="false">IF(C206="Airport",1,0)</f>
        <v>0</v>
      </c>
      <c r="E206" s="4" t="n">
        <f aca="false">IF(C206="Mall",1,0)</f>
        <v>0</v>
      </c>
      <c r="F206" s="4" t="n">
        <f aca="false">IF(C206="Residential",1,0)</f>
        <v>0</v>
      </c>
      <c r="G206" s="9" t="n">
        <f aca="false">Cleaned_Prepared_Data!M206</f>
        <v>691288.19</v>
      </c>
    </row>
    <row r="207" customFormat="false" ht="15" hidden="false" customHeight="true" outlineLevel="0" collapsed="false">
      <c r="A207" s="9" t="str">
        <f aca="false">Cleaned_Prepared_Data!A207</f>
        <v>STR-1053</v>
      </c>
      <c r="B207" s="10" t="n">
        <f aca="false">Cleaned_Prepared_Data!B207</f>
        <v>45717</v>
      </c>
      <c r="C207" s="9" t="str">
        <f aca="false">Cleaned_Prepared_Data!D207</f>
        <v>High Street</v>
      </c>
      <c r="D207" s="4" t="n">
        <f aca="false">IF(C207="Airport",1,0)</f>
        <v>0</v>
      </c>
      <c r="E207" s="4" t="n">
        <f aca="false">IF(C207="Mall",1,0)</f>
        <v>0</v>
      </c>
      <c r="F207" s="4" t="n">
        <f aca="false">IF(C207="Residential",1,0)</f>
        <v>0</v>
      </c>
      <c r="G207" s="9" t="n">
        <f aca="false">Cleaned_Prepared_Data!M207</f>
        <v>946833.54</v>
      </c>
    </row>
    <row r="208" customFormat="false" ht="15" hidden="false" customHeight="true" outlineLevel="0" collapsed="false">
      <c r="A208" s="9" t="str">
        <f aca="false">Cleaned_Prepared_Data!A208</f>
        <v>STR-1053</v>
      </c>
      <c r="B208" s="10" t="n">
        <f aca="false">Cleaned_Prepared_Data!B208</f>
        <v>45748</v>
      </c>
      <c r="C208" s="9" t="str">
        <f aca="false">Cleaned_Prepared_Data!D208</f>
        <v>High Street</v>
      </c>
      <c r="D208" s="4" t="n">
        <f aca="false">IF(C208="Airport",1,0)</f>
        <v>0</v>
      </c>
      <c r="E208" s="4" t="n">
        <f aca="false">IF(C208="Mall",1,0)</f>
        <v>0</v>
      </c>
      <c r="F208" s="4" t="n">
        <f aca="false">IF(C208="Residential",1,0)</f>
        <v>0</v>
      </c>
      <c r="G208" s="9" t="n">
        <f aca="false">Cleaned_Prepared_Data!M208</f>
        <v>761963.23</v>
      </c>
    </row>
    <row r="209" customFormat="false" ht="15" hidden="false" customHeight="true" outlineLevel="0" collapsed="false">
      <c r="A209" s="9" t="str">
        <f aca="false">Cleaned_Prepared_Data!A209</f>
        <v>STR-1054</v>
      </c>
      <c r="B209" s="10" t="n">
        <f aca="false">Cleaned_Prepared_Data!B209</f>
        <v>45658</v>
      </c>
      <c r="C209" s="9" t="str">
        <f aca="false">Cleaned_Prepared_Data!D209</f>
        <v>Residential</v>
      </c>
      <c r="D209" s="4" t="n">
        <f aca="false">IF(C209="Airport",1,0)</f>
        <v>0</v>
      </c>
      <c r="E209" s="4" t="n">
        <f aca="false">IF(C209="Mall",1,0)</f>
        <v>0</v>
      </c>
      <c r="F209" s="4" t="n">
        <f aca="false">IF(C209="Residential",1,0)</f>
        <v>1</v>
      </c>
      <c r="G209" s="9" t="n">
        <f aca="false">Cleaned_Prepared_Data!M209</f>
        <v>812152.6</v>
      </c>
    </row>
    <row r="210" customFormat="false" ht="15" hidden="false" customHeight="true" outlineLevel="0" collapsed="false">
      <c r="A210" s="9" t="str">
        <f aca="false">Cleaned_Prepared_Data!A210</f>
        <v>STR-1054</v>
      </c>
      <c r="B210" s="10" t="n">
        <f aca="false">Cleaned_Prepared_Data!B210</f>
        <v>45689</v>
      </c>
      <c r="C210" s="9" t="str">
        <f aca="false">Cleaned_Prepared_Data!D210</f>
        <v>Residential</v>
      </c>
      <c r="D210" s="4" t="n">
        <f aca="false">IF(C210="Airport",1,0)</f>
        <v>0</v>
      </c>
      <c r="E210" s="4" t="n">
        <f aca="false">IF(C210="Mall",1,0)</f>
        <v>0</v>
      </c>
      <c r="F210" s="4" t="n">
        <f aca="false">IF(C210="Residential",1,0)</f>
        <v>1</v>
      </c>
      <c r="G210" s="9" t="n">
        <f aca="false">Cleaned_Prepared_Data!M210</f>
        <v>804975.5</v>
      </c>
    </row>
    <row r="211" customFormat="false" ht="15" hidden="false" customHeight="true" outlineLevel="0" collapsed="false">
      <c r="A211" s="9" t="str">
        <f aca="false">Cleaned_Prepared_Data!A211</f>
        <v>STR-1054</v>
      </c>
      <c r="B211" s="10" t="n">
        <f aca="false">Cleaned_Prepared_Data!B211</f>
        <v>45717</v>
      </c>
      <c r="C211" s="9" t="str">
        <f aca="false">Cleaned_Prepared_Data!D211</f>
        <v>Residential</v>
      </c>
      <c r="D211" s="4" t="n">
        <f aca="false">IF(C211="Airport",1,0)</f>
        <v>0</v>
      </c>
      <c r="E211" s="4" t="n">
        <f aca="false">IF(C211="Mall",1,0)</f>
        <v>0</v>
      </c>
      <c r="F211" s="4" t="n">
        <f aca="false">IF(C211="Residential",1,0)</f>
        <v>1</v>
      </c>
      <c r="G211" s="9" t="n">
        <f aca="false">Cleaned_Prepared_Data!M211</f>
        <v>752321.72</v>
      </c>
    </row>
    <row r="212" customFormat="false" ht="15" hidden="false" customHeight="true" outlineLevel="0" collapsed="false">
      <c r="A212" s="9" t="str">
        <f aca="false">Cleaned_Prepared_Data!A212</f>
        <v>STR-1054</v>
      </c>
      <c r="B212" s="10" t="n">
        <f aca="false">Cleaned_Prepared_Data!B212</f>
        <v>45748</v>
      </c>
      <c r="C212" s="9" t="str">
        <f aca="false">Cleaned_Prepared_Data!D212</f>
        <v>Residential</v>
      </c>
      <c r="D212" s="4" t="n">
        <f aca="false">IF(C212="Airport",1,0)</f>
        <v>0</v>
      </c>
      <c r="E212" s="4" t="n">
        <f aca="false">IF(C212="Mall",1,0)</f>
        <v>0</v>
      </c>
      <c r="F212" s="4" t="n">
        <f aca="false">IF(C212="Residential",1,0)</f>
        <v>1</v>
      </c>
      <c r="G212" s="9" t="n">
        <f aca="false">Cleaned_Prepared_Data!M212</f>
        <v>836908.24</v>
      </c>
    </row>
    <row r="213" customFormat="false" ht="15" hidden="false" customHeight="true" outlineLevel="0" collapsed="false">
      <c r="A213" s="9" t="str">
        <f aca="false">Cleaned_Prepared_Data!A213</f>
        <v>STR-1055</v>
      </c>
      <c r="B213" s="10" t="n">
        <f aca="false">Cleaned_Prepared_Data!B213</f>
        <v>45658</v>
      </c>
      <c r="C213" s="9" t="str">
        <f aca="false">Cleaned_Prepared_Data!D213</f>
        <v>Airport</v>
      </c>
      <c r="D213" s="4" t="n">
        <f aca="false">IF(C213="Airport",1,0)</f>
        <v>1</v>
      </c>
      <c r="E213" s="4" t="n">
        <f aca="false">IF(C213="Mall",1,0)</f>
        <v>0</v>
      </c>
      <c r="F213" s="4" t="n">
        <f aca="false">IF(C213="Residential",1,0)</f>
        <v>0</v>
      </c>
      <c r="G213" s="9" t="n">
        <f aca="false">Cleaned_Prepared_Data!M213</f>
        <v>674289.1</v>
      </c>
    </row>
    <row r="214" customFormat="false" ht="15" hidden="false" customHeight="true" outlineLevel="0" collapsed="false">
      <c r="A214" s="9" t="str">
        <f aca="false">Cleaned_Prepared_Data!A214</f>
        <v>STR-1055</v>
      </c>
      <c r="B214" s="10" t="n">
        <f aca="false">Cleaned_Prepared_Data!B214</f>
        <v>45689</v>
      </c>
      <c r="C214" s="9" t="str">
        <f aca="false">Cleaned_Prepared_Data!D214</f>
        <v>Airport</v>
      </c>
      <c r="D214" s="4" t="n">
        <f aca="false">IF(C214="Airport",1,0)</f>
        <v>1</v>
      </c>
      <c r="E214" s="4" t="n">
        <f aca="false">IF(C214="Mall",1,0)</f>
        <v>0</v>
      </c>
      <c r="F214" s="4" t="n">
        <f aca="false">IF(C214="Residential",1,0)</f>
        <v>0</v>
      </c>
      <c r="G214" s="9" t="n">
        <f aca="false">Cleaned_Prepared_Data!M214</f>
        <v>622892.42</v>
      </c>
    </row>
    <row r="215" customFormat="false" ht="15" hidden="false" customHeight="true" outlineLevel="0" collapsed="false">
      <c r="A215" s="9" t="str">
        <f aca="false">Cleaned_Prepared_Data!A215</f>
        <v>STR-1055</v>
      </c>
      <c r="B215" s="10" t="n">
        <f aca="false">Cleaned_Prepared_Data!B215</f>
        <v>45717</v>
      </c>
      <c r="C215" s="9" t="str">
        <f aca="false">Cleaned_Prepared_Data!D215</f>
        <v>Airport</v>
      </c>
      <c r="D215" s="4" t="n">
        <f aca="false">IF(C215="Airport",1,0)</f>
        <v>1</v>
      </c>
      <c r="E215" s="4" t="n">
        <f aca="false">IF(C215="Mall",1,0)</f>
        <v>0</v>
      </c>
      <c r="F215" s="4" t="n">
        <f aca="false">IF(C215="Residential",1,0)</f>
        <v>0</v>
      </c>
      <c r="G215" s="9" t="n">
        <f aca="false">Cleaned_Prepared_Data!M215</f>
        <v>673348.56</v>
      </c>
    </row>
    <row r="216" customFormat="false" ht="15" hidden="false" customHeight="true" outlineLevel="0" collapsed="false">
      <c r="A216" s="9" t="str">
        <f aca="false">Cleaned_Prepared_Data!A216</f>
        <v>STR-1055</v>
      </c>
      <c r="B216" s="10" t="n">
        <f aca="false">Cleaned_Prepared_Data!B216</f>
        <v>45748</v>
      </c>
      <c r="C216" s="9" t="str">
        <f aca="false">Cleaned_Prepared_Data!D216</f>
        <v>Airport</v>
      </c>
      <c r="D216" s="4" t="n">
        <f aca="false">IF(C216="Airport",1,0)</f>
        <v>1</v>
      </c>
      <c r="E216" s="4" t="n">
        <f aca="false">IF(C216="Mall",1,0)</f>
        <v>0</v>
      </c>
      <c r="F216" s="4" t="n">
        <f aca="false">IF(C216="Residential",1,0)</f>
        <v>0</v>
      </c>
      <c r="G216" s="9" t="n">
        <f aca="false">Cleaned_Prepared_Data!M216</f>
        <v>606278.3</v>
      </c>
    </row>
    <row r="217" customFormat="false" ht="15" hidden="false" customHeight="true" outlineLevel="0" collapsed="false">
      <c r="A217" s="9" t="str">
        <f aca="false">Cleaned_Prepared_Data!A217</f>
        <v>STR-1056</v>
      </c>
      <c r="B217" s="10" t="n">
        <f aca="false">Cleaned_Prepared_Data!B217</f>
        <v>45658</v>
      </c>
      <c r="C217" s="9" t="str">
        <f aca="false">Cleaned_Prepared_Data!D217</f>
        <v>High Street</v>
      </c>
      <c r="D217" s="4" t="n">
        <f aca="false">IF(C217="Airport",1,0)</f>
        <v>0</v>
      </c>
      <c r="E217" s="4" t="n">
        <f aca="false">IF(C217="Mall",1,0)</f>
        <v>0</v>
      </c>
      <c r="F217" s="4" t="n">
        <f aca="false">IF(C217="Residential",1,0)</f>
        <v>0</v>
      </c>
      <c r="G217" s="9" t="n">
        <f aca="false">Cleaned_Prepared_Data!M217</f>
        <v>712219.81</v>
      </c>
    </row>
    <row r="218" customFormat="false" ht="15" hidden="false" customHeight="true" outlineLevel="0" collapsed="false">
      <c r="A218" s="9" t="str">
        <f aca="false">Cleaned_Prepared_Data!A218</f>
        <v>STR-1056</v>
      </c>
      <c r="B218" s="10" t="n">
        <f aca="false">Cleaned_Prepared_Data!B218</f>
        <v>45689</v>
      </c>
      <c r="C218" s="9" t="str">
        <f aca="false">Cleaned_Prepared_Data!D218</f>
        <v>High Street</v>
      </c>
      <c r="D218" s="4" t="n">
        <f aca="false">IF(C218="Airport",1,0)</f>
        <v>0</v>
      </c>
      <c r="E218" s="4" t="n">
        <f aca="false">IF(C218="Mall",1,0)</f>
        <v>0</v>
      </c>
      <c r="F218" s="4" t="n">
        <f aca="false">IF(C218="Residential",1,0)</f>
        <v>0</v>
      </c>
      <c r="G218" s="9" t="n">
        <f aca="false">Cleaned_Prepared_Data!M218</f>
        <v>672670.54</v>
      </c>
    </row>
    <row r="219" customFormat="false" ht="15" hidden="false" customHeight="true" outlineLevel="0" collapsed="false">
      <c r="A219" s="9" t="str">
        <f aca="false">Cleaned_Prepared_Data!A219</f>
        <v>STR-1056</v>
      </c>
      <c r="B219" s="10" t="n">
        <f aca="false">Cleaned_Prepared_Data!B219</f>
        <v>45717</v>
      </c>
      <c r="C219" s="9" t="str">
        <f aca="false">Cleaned_Prepared_Data!D219</f>
        <v>High Street</v>
      </c>
      <c r="D219" s="4" t="n">
        <f aca="false">IF(C219="Airport",1,0)</f>
        <v>0</v>
      </c>
      <c r="E219" s="4" t="n">
        <f aca="false">IF(C219="Mall",1,0)</f>
        <v>0</v>
      </c>
      <c r="F219" s="4" t="n">
        <f aca="false">IF(C219="Residential",1,0)</f>
        <v>0</v>
      </c>
      <c r="G219" s="9" t="n">
        <f aca="false">Cleaned_Prepared_Data!M219</f>
        <v>732667.92</v>
      </c>
    </row>
    <row r="220" customFormat="false" ht="15" hidden="false" customHeight="true" outlineLevel="0" collapsed="false">
      <c r="A220" s="9" t="str">
        <f aca="false">Cleaned_Prepared_Data!A220</f>
        <v>STR-1056</v>
      </c>
      <c r="B220" s="10" t="n">
        <f aca="false">Cleaned_Prepared_Data!B220</f>
        <v>45748</v>
      </c>
      <c r="C220" s="9" t="str">
        <f aca="false">Cleaned_Prepared_Data!D220</f>
        <v>High Street</v>
      </c>
      <c r="D220" s="4" t="n">
        <f aca="false">IF(C220="Airport",1,0)</f>
        <v>0</v>
      </c>
      <c r="E220" s="4" t="n">
        <f aca="false">IF(C220="Mall",1,0)</f>
        <v>0</v>
      </c>
      <c r="F220" s="4" t="n">
        <f aca="false">IF(C220="Residential",1,0)</f>
        <v>0</v>
      </c>
      <c r="G220" s="9" t="n">
        <f aca="false">Cleaned_Prepared_Data!M220</f>
        <v>723531.4</v>
      </c>
    </row>
    <row r="221" customFormat="false" ht="15" hidden="false" customHeight="true" outlineLevel="0" collapsed="false">
      <c r="A221" s="9" t="str">
        <f aca="false">Cleaned_Prepared_Data!A221</f>
        <v>STR-1057</v>
      </c>
      <c r="B221" s="10" t="n">
        <f aca="false">Cleaned_Prepared_Data!B221</f>
        <v>45658</v>
      </c>
      <c r="C221" s="9" t="str">
        <f aca="false">Cleaned_Prepared_Data!D221</f>
        <v>Mall</v>
      </c>
      <c r="D221" s="4" t="n">
        <f aca="false">IF(C221="Airport",1,0)</f>
        <v>0</v>
      </c>
      <c r="E221" s="4" t="n">
        <f aca="false">IF(C221="Mall",1,0)</f>
        <v>1</v>
      </c>
      <c r="F221" s="4" t="n">
        <f aca="false">IF(C221="Residential",1,0)</f>
        <v>0</v>
      </c>
      <c r="G221" s="9" t="n">
        <f aca="false">Cleaned_Prepared_Data!M221</f>
        <v>641564.6</v>
      </c>
    </row>
    <row r="222" customFormat="false" ht="15" hidden="false" customHeight="true" outlineLevel="0" collapsed="false">
      <c r="A222" s="9" t="str">
        <f aca="false">Cleaned_Prepared_Data!A222</f>
        <v>STR-1057</v>
      </c>
      <c r="B222" s="10" t="n">
        <f aca="false">Cleaned_Prepared_Data!B222</f>
        <v>45689</v>
      </c>
      <c r="C222" s="9" t="str">
        <f aca="false">Cleaned_Prepared_Data!D222</f>
        <v>Mall</v>
      </c>
      <c r="D222" s="4" t="n">
        <f aca="false">IF(C222="Airport",1,0)</f>
        <v>0</v>
      </c>
      <c r="E222" s="4" t="n">
        <f aca="false">IF(C222="Mall",1,0)</f>
        <v>1</v>
      </c>
      <c r="F222" s="4" t="n">
        <f aca="false">IF(C222="Residential",1,0)</f>
        <v>0</v>
      </c>
      <c r="G222" s="9" t="n">
        <f aca="false">Cleaned_Prepared_Data!M222</f>
        <v>536545.49</v>
      </c>
    </row>
    <row r="223" customFormat="false" ht="15" hidden="false" customHeight="true" outlineLevel="0" collapsed="false">
      <c r="A223" s="9" t="str">
        <f aca="false">Cleaned_Prepared_Data!A223</f>
        <v>STR-1057</v>
      </c>
      <c r="B223" s="10" t="n">
        <f aca="false">Cleaned_Prepared_Data!B223</f>
        <v>45717</v>
      </c>
      <c r="C223" s="9" t="str">
        <f aca="false">Cleaned_Prepared_Data!D223</f>
        <v>Mall</v>
      </c>
      <c r="D223" s="4" t="n">
        <f aca="false">IF(C223="Airport",1,0)</f>
        <v>0</v>
      </c>
      <c r="E223" s="4" t="n">
        <f aca="false">IF(C223="Mall",1,0)</f>
        <v>1</v>
      </c>
      <c r="F223" s="4" t="n">
        <f aca="false">IF(C223="Residential",1,0)</f>
        <v>0</v>
      </c>
      <c r="G223" s="9" t="n">
        <f aca="false">Cleaned_Prepared_Data!M223</f>
        <v>527681.56</v>
      </c>
    </row>
    <row r="224" customFormat="false" ht="15" hidden="false" customHeight="true" outlineLevel="0" collapsed="false">
      <c r="A224" s="9" t="str">
        <f aca="false">Cleaned_Prepared_Data!A224</f>
        <v>STR-1058</v>
      </c>
      <c r="B224" s="10" t="n">
        <f aca="false">Cleaned_Prepared_Data!B224</f>
        <v>45658</v>
      </c>
      <c r="C224" s="9" t="str">
        <f aca="false">Cleaned_Prepared_Data!D224</f>
        <v>High Street</v>
      </c>
      <c r="D224" s="4" t="n">
        <f aca="false">IF(C224="Airport",1,0)</f>
        <v>0</v>
      </c>
      <c r="E224" s="4" t="n">
        <f aca="false">IF(C224="Mall",1,0)</f>
        <v>0</v>
      </c>
      <c r="F224" s="4" t="n">
        <f aca="false">IF(C224="Residential",1,0)</f>
        <v>0</v>
      </c>
      <c r="G224" s="9" t="n">
        <f aca="false">Cleaned_Prepared_Data!M224</f>
        <v>570963.31</v>
      </c>
    </row>
    <row r="225" customFormat="false" ht="15" hidden="false" customHeight="true" outlineLevel="0" collapsed="false">
      <c r="A225" s="9" t="str">
        <f aca="false">Cleaned_Prepared_Data!A225</f>
        <v>STR-1058</v>
      </c>
      <c r="B225" s="10" t="n">
        <f aca="false">Cleaned_Prepared_Data!B225</f>
        <v>45689</v>
      </c>
      <c r="C225" s="9" t="str">
        <f aca="false">Cleaned_Prepared_Data!D225</f>
        <v>High Street</v>
      </c>
      <c r="D225" s="4" t="n">
        <f aca="false">IF(C225="Airport",1,0)</f>
        <v>0</v>
      </c>
      <c r="E225" s="4" t="n">
        <f aca="false">IF(C225="Mall",1,0)</f>
        <v>0</v>
      </c>
      <c r="F225" s="4" t="n">
        <f aca="false">IF(C225="Residential",1,0)</f>
        <v>0</v>
      </c>
      <c r="G225" s="9" t="n">
        <f aca="false">Cleaned_Prepared_Data!M225</f>
        <v>870937.4</v>
      </c>
    </row>
    <row r="226" customFormat="false" ht="15" hidden="false" customHeight="true" outlineLevel="0" collapsed="false">
      <c r="A226" s="9" t="str">
        <f aca="false">Cleaned_Prepared_Data!A226</f>
        <v>STR-1058</v>
      </c>
      <c r="B226" s="10" t="n">
        <f aca="false">Cleaned_Prepared_Data!B226</f>
        <v>45717</v>
      </c>
      <c r="C226" s="9" t="str">
        <f aca="false">Cleaned_Prepared_Data!D226</f>
        <v>High Street</v>
      </c>
      <c r="D226" s="4" t="n">
        <f aca="false">IF(C226="Airport",1,0)</f>
        <v>0</v>
      </c>
      <c r="E226" s="4" t="n">
        <f aca="false">IF(C226="Mall",1,0)</f>
        <v>0</v>
      </c>
      <c r="F226" s="4" t="n">
        <f aca="false">IF(C226="Residential",1,0)</f>
        <v>0</v>
      </c>
      <c r="G226" s="9" t="n">
        <f aca="false">Cleaned_Prepared_Data!M226</f>
        <v>596969.27</v>
      </c>
    </row>
    <row r="227" customFormat="false" ht="15" hidden="false" customHeight="true" outlineLevel="0" collapsed="false">
      <c r="A227" s="9" t="str">
        <f aca="false">Cleaned_Prepared_Data!A227</f>
        <v>STR-1059</v>
      </c>
      <c r="B227" s="10" t="n">
        <f aca="false">Cleaned_Prepared_Data!B227</f>
        <v>45658</v>
      </c>
      <c r="C227" s="9" t="str">
        <f aca="false">Cleaned_Prepared_Data!D227</f>
        <v>Residential</v>
      </c>
      <c r="D227" s="4" t="n">
        <f aca="false">IF(C227="Airport",1,0)</f>
        <v>0</v>
      </c>
      <c r="E227" s="4" t="n">
        <f aca="false">IF(C227="Mall",1,0)</f>
        <v>0</v>
      </c>
      <c r="F227" s="4" t="n">
        <f aca="false">IF(C227="Residential",1,0)</f>
        <v>1</v>
      </c>
      <c r="G227" s="9" t="n">
        <f aca="false">Cleaned_Prepared_Data!M227</f>
        <v>658072.14</v>
      </c>
    </row>
    <row r="228" customFormat="false" ht="15" hidden="false" customHeight="true" outlineLevel="0" collapsed="false">
      <c r="A228" s="9" t="str">
        <f aca="false">Cleaned_Prepared_Data!A228</f>
        <v>STR-1059</v>
      </c>
      <c r="B228" s="10" t="n">
        <f aca="false">Cleaned_Prepared_Data!B228</f>
        <v>45689</v>
      </c>
      <c r="C228" s="9" t="str">
        <f aca="false">Cleaned_Prepared_Data!D228</f>
        <v>Residential</v>
      </c>
      <c r="D228" s="4" t="n">
        <f aca="false">IF(C228="Airport",1,0)</f>
        <v>0</v>
      </c>
      <c r="E228" s="4" t="n">
        <f aca="false">IF(C228="Mall",1,0)</f>
        <v>0</v>
      </c>
      <c r="F228" s="4" t="n">
        <f aca="false">IF(C228="Residential",1,0)</f>
        <v>1</v>
      </c>
      <c r="G228" s="9" t="n">
        <f aca="false">Cleaned_Prepared_Data!M228</f>
        <v>723305.11</v>
      </c>
    </row>
    <row r="229" customFormat="false" ht="15" hidden="false" customHeight="true" outlineLevel="0" collapsed="false">
      <c r="A229" s="9" t="str">
        <f aca="false">Cleaned_Prepared_Data!A229</f>
        <v>STR-1059</v>
      </c>
      <c r="B229" s="10" t="n">
        <f aca="false">Cleaned_Prepared_Data!B229</f>
        <v>45717</v>
      </c>
      <c r="C229" s="9" t="str">
        <f aca="false">Cleaned_Prepared_Data!D229</f>
        <v>Residential</v>
      </c>
      <c r="D229" s="4" t="n">
        <f aca="false">IF(C229="Airport",1,0)</f>
        <v>0</v>
      </c>
      <c r="E229" s="4" t="n">
        <f aca="false">IF(C229="Mall",1,0)</f>
        <v>0</v>
      </c>
      <c r="F229" s="4" t="n">
        <f aca="false">IF(C229="Residential",1,0)</f>
        <v>1</v>
      </c>
      <c r="G229" s="9" t="n">
        <f aca="false">Cleaned_Prepared_Data!M229</f>
        <v>640666.53</v>
      </c>
    </row>
    <row r="230" customFormat="false" ht="15" hidden="false" customHeight="true" outlineLevel="0" collapsed="false">
      <c r="A230" s="9" t="str">
        <f aca="false">Cleaned_Prepared_Data!A230</f>
        <v>STR-1059</v>
      </c>
      <c r="B230" s="10" t="n">
        <f aca="false">Cleaned_Prepared_Data!B230</f>
        <v>45748</v>
      </c>
      <c r="C230" s="9" t="str">
        <f aca="false">Cleaned_Prepared_Data!D230</f>
        <v>Residential</v>
      </c>
      <c r="D230" s="4" t="n">
        <f aca="false">IF(C230="Airport",1,0)</f>
        <v>0</v>
      </c>
      <c r="E230" s="4" t="n">
        <f aca="false">IF(C230="Mall",1,0)</f>
        <v>0</v>
      </c>
      <c r="F230" s="4" t="n">
        <f aca="false">IF(C230="Residential",1,0)</f>
        <v>1</v>
      </c>
      <c r="G230" s="9" t="n">
        <f aca="false">Cleaned_Prepared_Data!M230</f>
        <v>670629.48</v>
      </c>
    </row>
    <row r="231" customFormat="false" ht="15" hidden="false" customHeight="true" outlineLevel="0" collapsed="false">
      <c r="A231" s="9" t="str">
        <f aca="false">Cleaned_Prepared_Data!A231</f>
        <v>STR-1060</v>
      </c>
      <c r="B231" s="10" t="n">
        <f aca="false">Cleaned_Prepared_Data!B231</f>
        <v>45658</v>
      </c>
      <c r="C231" s="9" t="str">
        <f aca="false">Cleaned_Prepared_Data!D231</f>
        <v>Mall</v>
      </c>
      <c r="D231" s="4" t="n">
        <f aca="false">IF(C231="Airport",1,0)</f>
        <v>0</v>
      </c>
      <c r="E231" s="4" t="n">
        <f aca="false">IF(C231="Mall",1,0)</f>
        <v>1</v>
      </c>
      <c r="F231" s="4" t="n">
        <f aca="false">IF(C231="Residential",1,0)</f>
        <v>0</v>
      </c>
      <c r="G231" s="9" t="n">
        <f aca="false">Cleaned_Prepared_Data!M231</f>
        <v>721079.35</v>
      </c>
    </row>
    <row r="232" customFormat="false" ht="15" hidden="false" customHeight="true" outlineLevel="0" collapsed="false">
      <c r="A232" s="9" t="str">
        <f aca="false">Cleaned_Prepared_Data!A232</f>
        <v>STR-1060</v>
      </c>
      <c r="B232" s="10" t="n">
        <f aca="false">Cleaned_Prepared_Data!B232</f>
        <v>45689</v>
      </c>
      <c r="C232" s="9" t="str">
        <f aca="false">Cleaned_Prepared_Data!D232</f>
        <v>Mall</v>
      </c>
      <c r="D232" s="4" t="n">
        <f aca="false">IF(C232="Airport",1,0)</f>
        <v>0</v>
      </c>
      <c r="E232" s="4" t="n">
        <f aca="false">IF(C232="Mall",1,0)</f>
        <v>1</v>
      </c>
      <c r="F232" s="4" t="n">
        <f aca="false">IF(C232="Residential",1,0)</f>
        <v>0</v>
      </c>
      <c r="G232" s="9" t="n">
        <f aca="false">Cleaned_Prepared_Data!M232</f>
        <v>810355.02</v>
      </c>
    </row>
    <row r="233" customFormat="false" ht="15" hidden="false" customHeight="true" outlineLevel="0" collapsed="false">
      <c r="A233" s="9" t="str">
        <f aca="false">Cleaned_Prepared_Data!A233</f>
        <v>STR-1060</v>
      </c>
      <c r="B233" s="10" t="n">
        <f aca="false">Cleaned_Prepared_Data!B233</f>
        <v>45717</v>
      </c>
      <c r="C233" s="9" t="str">
        <f aca="false">Cleaned_Prepared_Data!D233</f>
        <v>Mall</v>
      </c>
      <c r="D233" s="4" t="n">
        <f aca="false">IF(C233="Airport",1,0)</f>
        <v>0</v>
      </c>
      <c r="E233" s="4" t="n">
        <f aca="false">IF(C233="Mall",1,0)</f>
        <v>1</v>
      </c>
      <c r="F233" s="4" t="n">
        <f aca="false">IF(C233="Residential",1,0)</f>
        <v>0</v>
      </c>
      <c r="G233" s="9" t="n">
        <f aca="false">Cleaned_Prepared_Data!M233</f>
        <v>761919.25</v>
      </c>
    </row>
    <row r="234" customFormat="false" ht="15" hidden="false" customHeight="true" outlineLevel="0" collapsed="false">
      <c r="A234" s="9" t="str">
        <f aca="false">Cleaned_Prepared_Data!A234</f>
        <v>STR-1060</v>
      </c>
      <c r="B234" s="10" t="n">
        <f aca="false">Cleaned_Prepared_Data!B234</f>
        <v>45748</v>
      </c>
      <c r="C234" s="9" t="str">
        <f aca="false">Cleaned_Prepared_Data!D234</f>
        <v>Mall</v>
      </c>
      <c r="D234" s="4" t="n">
        <f aca="false">IF(C234="Airport",1,0)</f>
        <v>0</v>
      </c>
      <c r="E234" s="4" t="n">
        <f aca="false">IF(C234="Mall",1,0)</f>
        <v>1</v>
      </c>
      <c r="F234" s="4" t="n">
        <f aca="false">IF(C234="Residential",1,0)</f>
        <v>0</v>
      </c>
      <c r="G234" s="9" t="n">
        <f aca="false">Cleaned_Prepared_Data!M234</f>
        <v>737070.18</v>
      </c>
    </row>
    <row r="235" customFormat="false" ht="15" hidden="false" customHeight="true" outlineLevel="0" collapsed="false">
      <c r="A235" s="9" t="str">
        <f aca="false">Cleaned_Prepared_Data!A235</f>
        <v>STR-1061</v>
      </c>
      <c r="B235" s="10" t="n">
        <f aca="false">Cleaned_Prepared_Data!B235</f>
        <v>45658</v>
      </c>
      <c r="C235" s="9" t="str">
        <f aca="false">Cleaned_Prepared_Data!D235</f>
        <v>Airport</v>
      </c>
      <c r="D235" s="4" t="n">
        <f aca="false">IF(C235="Airport",1,0)</f>
        <v>1</v>
      </c>
      <c r="E235" s="4" t="n">
        <f aca="false">IF(C235="Mall",1,0)</f>
        <v>0</v>
      </c>
      <c r="F235" s="4" t="n">
        <f aca="false">IF(C235="Residential",1,0)</f>
        <v>0</v>
      </c>
      <c r="G235" s="9" t="n">
        <f aca="false">Cleaned_Prepared_Data!M235</f>
        <v>776992.93</v>
      </c>
    </row>
    <row r="236" customFormat="false" ht="15" hidden="false" customHeight="true" outlineLevel="0" collapsed="false">
      <c r="A236" s="9" t="str">
        <f aca="false">Cleaned_Prepared_Data!A236</f>
        <v>STR-1061</v>
      </c>
      <c r="B236" s="10" t="n">
        <f aca="false">Cleaned_Prepared_Data!B236</f>
        <v>45689</v>
      </c>
      <c r="C236" s="9" t="str">
        <f aca="false">Cleaned_Prepared_Data!D236</f>
        <v>Airport</v>
      </c>
      <c r="D236" s="4" t="n">
        <f aca="false">IF(C236="Airport",1,0)</f>
        <v>1</v>
      </c>
      <c r="E236" s="4" t="n">
        <f aca="false">IF(C236="Mall",1,0)</f>
        <v>0</v>
      </c>
      <c r="F236" s="4" t="n">
        <f aca="false">IF(C236="Residential",1,0)</f>
        <v>0</v>
      </c>
      <c r="G236" s="9" t="n">
        <f aca="false">Cleaned_Prepared_Data!M236</f>
        <v>676337.41</v>
      </c>
    </row>
    <row r="237" customFormat="false" ht="15" hidden="false" customHeight="true" outlineLevel="0" collapsed="false">
      <c r="A237" s="9" t="str">
        <f aca="false">Cleaned_Prepared_Data!A237</f>
        <v>STR-1061</v>
      </c>
      <c r="B237" s="10" t="n">
        <f aca="false">Cleaned_Prepared_Data!B237</f>
        <v>45717</v>
      </c>
      <c r="C237" s="9" t="str">
        <f aca="false">Cleaned_Prepared_Data!D237</f>
        <v>Airport</v>
      </c>
      <c r="D237" s="4" t="n">
        <f aca="false">IF(C237="Airport",1,0)</f>
        <v>1</v>
      </c>
      <c r="E237" s="4" t="n">
        <f aca="false">IF(C237="Mall",1,0)</f>
        <v>0</v>
      </c>
      <c r="F237" s="4" t="n">
        <f aca="false">IF(C237="Residential",1,0)</f>
        <v>0</v>
      </c>
      <c r="G237" s="9" t="n">
        <f aca="false">Cleaned_Prepared_Data!M237</f>
        <v>828219.67</v>
      </c>
    </row>
    <row r="238" customFormat="false" ht="15" hidden="false" customHeight="true" outlineLevel="0" collapsed="false">
      <c r="A238" s="9" t="str">
        <f aca="false">Cleaned_Prepared_Data!A238</f>
        <v>STR-1061</v>
      </c>
      <c r="B238" s="10" t="n">
        <f aca="false">Cleaned_Prepared_Data!B238</f>
        <v>45748</v>
      </c>
      <c r="C238" s="9" t="str">
        <f aca="false">Cleaned_Prepared_Data!D238</f>
        <v>Airport</v>
      </c>
      <c r="D238" s="4" t="n">
        <f aca="false">IF(C238="Airport",1,0)</f>
        <v>1</v>
      </c>
      <c r="E238" s="4" t="n">
        <f aca="false">IF(C238="Mall",1,0)</f>
        <v>0</v>
      </c>
      <c r="F238" s="4" t="n">
        <f aca="false">IF(C238="Residential",1,0)</f>
        <v>0</v>
      </c>
      <c r="G238" s="9" t="n">
        <f aca="false">Cleaned_Prepared_Data!M238</f>
        <v>763159.92</v>
      </c>
    </row>
    <row r="239" customFormat="false" ht="15" hidden="false" customHeight="true" outlineLevel="0" collapsed="false">
      <c r="A239" s="9" t="str">
        <f aca="false">Cleaned_Prepared_Data!A239</f>
        <v>STR-1062</v>
      </c>
      <c r="B239" s="10" t="n">
        <f aca="false">Cleaned_Prepared_Data!B239</f>
        <v>45658</v>
      </c>
      <c r="C239" s="9" t="str">
        <f aca="false">Cleaned_Prepared_Data!D239</f>
        <v>High Street</v>
      </c>
      <c r="D239" s="4" t="n">
        <f aca="false">IF(C239="Airport",1,0)</f>
        <v>0</v>
      </c>
      <c r="E239" s="4" t="n">
        <f aca="false">IF(C239="Mall",1,0)</f>
        <v>0</v>
      </c>
      <c r="F239" s="4" t="n">
        <f aca="false">IF(C239="Residential",1,0)</f>
        <v>0</v>
      </c>
      <c r="G239" s="9" t="n">
        <f aca="false">Cleaned_Prepared_Data!M239</f>
        <v>802001.68</v>
      </c>
    </row>
    <row r="240" customFormat="false" ht="15" hidden="false" customHeight="true" outlineLevel="0" collapsed="false">
      <c r="A240" s="9" t="str">
        <f aca="false">Cleaned_Prepared_Data!A240</f>
        <v>STR-1062</v>
      </c>
      <c r="B240" s="10" t="n">
        <f aca="false">Cleaned_Prepared_Data!B240</f>
        <v>45689</v>
      </c>
      <c r="C240" s="9" t="str">
        <f aca="false">Cleaned_Prepared_Data!D240</f>
        <v>High Street</v>
      </c>
      <c r="D240" s="4" t="n">
        <f aca="false">IF(C240="Airport",1,0)</f>
        <v>0</v>
      </c>
      <c r="E240" s="4" t="n">
        <f aca="false">IF(C240="Mall",1,0)</f>
        <v>0</v>
      </c>
      <c r="F240" s="4" t="n">
        <f aca="false">IF(C240="Residential",1,0)</f>
        <v>0</v>
      </c>
      <c r="G240" s="9" t="n">
        <f aca="false">Cleaned_Prepared_Data!M240</f>
        <v>750471.34</v>
      </c>
    </row>
    <row r="241" customFormat="false" ht="15" hidden="false" customHeight="true" outlineLevel="0" collapsed="false">
      <c r="A241" s="9" t="str">
        <f aca="false">Cleaned_Prepared_Data!A241</f>
        <v>STR-1062</v>
      </c>
      <c r="B241" s="10" t="n">
        <f aca="false">Cleaned_Prepared_Data!B241</f>
        <v>45717</v>
      </c>
      <c r="C241" s="9" t="str">
        <f aca="false">Cleaned_Prepared_Data!D241</f>
        <v>High Street</v>
      </c>
      <c r="D241" s="4" t="n">
        <f aca="false">IF(C241="Airport",1,0)</f>
        <v>0</v>
      </c>
      <c r="E241" s="4" t="n">
        <f aca="false">IF(C241="Mall",1,0)</f>
        <v>0</v>
      </c>
      <c r="F241" s="4" t="n">
        <f aca="false">IF(C241="Residential",1,0)</f>
        <v>0</v>
      </c>
      <c r="G241" s="9" t="n">
        <f aca="false">Cleaned_Prepared_Data!M241</f>
        <v>679230.86</v>
      </c>
    </row>
    <row r="242" customFormat="false" ht="15" hidden="false" customHeight="true" outlineLevel="0" collapsed="false">
      <c r="A242" s="9" t="str">
        <f aca="false">Cleaned_Prepared_Data!A242</f>
        <v>STR-1062</v>
      </c>
      <c r="B242" s="10" t="n">
        <f aca="false">Cleaned_Prepared_Data!B242</f>
        <v>45748</v>
      </c>
      <c r="C242" s="9" t="str">
        <f aca="false">Cleaned_Prepared_Data!D242</f>
        <v>High Street</v>
      </c>
      <c r="D242" s="4" t="n">
        <f aca="false">IF(C242="Airport",1,0)</f>
        <v>0</v>
      </c>
      <c r="E242" s="4" t="n">
        <f aca="false">IF(C242="Mall",1,0)</f>
        <v>0</v>
      </c>
      <c r="F242" s="4" t="n">
        <f aca="false">IF(C242="Residential",1,0)</f>
        <v>0</v>
      </c>
      <c r="G242" s="9" t="n">
        <f aca="false">Cleaned_Prepared_Data!M242</f>
        <v>679888.74</v>
      </c>
    </row>
    <row r="243" customFormat="false" ht="15" hidden="false" customHeight="true" outlineLevel="0" collapsed="false">
      <c r="A243" s="9" t="str">
        <f aca="false">Cleaned_Prepared_Data!A243</f>
        <v>STR-1063</v>
      </c>
      <c r="B243" s="10" t="n">
        <f aca="false">Cleaned_Prepared_Data!B243</f>
        <v>45689</v>
      </c>
      <c r="C243" s="9" t="str">
        <f aca="false">Cleaned_Prepared_Data!D243</f>
        <v>High Street</v>
      </c>
      <c r="D243" s="4" t="n">
        <f aca="false">IF(C243="Airport",1,0)</f>
        <v>0</v>
      </c>
      <c r="E243" s="4" t="n">
        <f aca="false">IF(C243="Mall",1,0)</f>
        <v>0</v>
      </c>
      <c r="F243" s="4" t="n">
        <f aca="false">IF(C243="Residential",1,0)</f>
        <v>0</v>
      </c>
      <c r="G243" s="9" t="n">
        <f aca="false">Cleaned_Prepared_Data!M243</f>
        <v>642751.42</v>
      </c>
    </row>
    <row r="244" customFormat="false" ht="15" hidden="false" customHeight="true" outlineLevel="0" collapsed="false">
      <c r="A244" s="9" t="str">
        <f aca="false">Cleaned_Prepared_Data!A244</f>
        <v>STR-1063</v>
      </c>
      <c r="B244" s="10" t="n">
        <f aca="false">Cleaned_Prepared_Data!B244</f>
        <v>45717</v>
      </c>
      <c r="C244" s="9" t="str">
        <f aca="false">Cleaned_Prepared_Data!D244</f>
        <v>High Street</v>
      </c>
      <c r="D244" s="4" t="n">
        <f aca="false">IF(C244="Airport",1,0)</f>
        <v>0</v>
      </c>
      <c r="E244" s="4" t="n">
        <f aca="false">IF(C244="Mall",1,0)</f>
        <v>0</v>
      </c>
      <c r="F244" s="4" t="n">
        <f aca="false">IF(C244="Residential",1,0)</f>
        <v>0</v>
      </c>
      <c r="G244" s="9" t="n">
        <f aca="false">Cleaned_Prepared_Data!M244</f>
        <v>647953.78</v>
      </c>
    </row>
    <row r="245" customFormat="false" ht="15" hidden="false" customHeight="true" outlineLevel="0" collapsed="false">
      <c r="A245" s="9" t="str">
        <f aca="false">Cleaned_Prepared_Data!A245</f>
        <v>STR-1063</v>
      </c>
      <c r="B245" s="10" t="n">
        <f aca="false">Cleaned_Prepared_Data!B245</f>
        <v>45748</v>
      </c>
      <c r="C245" s="9" t="str">
        <f aca="false">Cleaned_Prepared_Data!D245</f>
        <v>High Street</v>
      </c>
      <c r="D245" s="4" t="n">
        <f aca="false">IF(C245="Airport",1,0)</f>
        <v>0</v>
      </c>
      <c r="E245" s="4" t="n">
        <f aca="false">IF(C245="Mall",1,0)</f>
        <v>0</v>
      </c>
      <c r="F245" s="4" t="n">
        <f aca="false">IF(C245="Residential",1,0)</f>
        <v>0</v>
      </c>
      <c r="G245" s="9" t="n">
        <f aca="false">Cleaned_Prepared_Data!M245</f>
        <v>729440.45</v>
      </c>
    </row>
    <row r="246" customFormat="false" ht="15" hidden="false" customHeight="true" outlineLevel="0" collapsed="false">
      <c r="A246" s="9" t="str">
        <f aca="false">Cleaned_Prepared_Data!A246</f>
        <v>STR-1064</v>
      </c>
      <c r="B246" s="10" t="n">
        <f aca="false">Cleaned_Prepared_Data!B246</f>
        <v>45658</v>
      </c>
      <c r="C246" s="9" t="str">
        <f aca="false">Cleaned_Prepared_Data!D246</f>
        <v>Airport</v>
      </c>
      <c r="D246" s="4" t="n">
        <f aca="false">IF(C246="Airport",1,0)</f>
        <v>1</v>
      </c>
      <c r="E246" s="4" t="n">
        <f aca="false">IF(C246="Mall",1,0)</f>
        <v>0</v>
      </c>
      <c r="F246" s="4" t="n">
        <f aca="false">IF(C246="Residential",1,0)</f>
        <v>0</v>
      </c>
      <c r="G246" s="9" t="n">
        <f aca="false">Cleaned_Prepared_Data!M246</f>
        <v>764949</v>
      </c>
    </row>
    <row r="247" customFormat="false" ht="15" hidden="false" customHeight="true" outlineLevel="0" collapsed="false">
      <c r="A247" s="9" t="str">
        <f aca="false">Cleaned_Prepared_Data!A247</f>
        <v>STR-1064</v>
      </c>
      <c r="B247" s="10" t="n">
        <f aca="false">Cleaned_Prepared_Data!B247</f>
        <v>45689</v>
      </c>
      <c r="C247" s="9" t="str">
        <f aca="false">Cleaned_Prepared_Data!D247</f>
        <v>Airport</v>
      </c>
      <c r="D247" s="4" t="n">
        <f aca="false">IF(C247="Airport",1,0)</f>
        <v>1</v>
      </c>
      <c r="E247" s="4" t="n">
        <f aca="false">IF(C247="Mall",1,0)</f>
        <v>0</v>
      </c>
      <c r="F247" s="4" t="n">
        <f aca="false">IF(C247="Residential",1,0)</f>
        <v>0</v>
      </c>
      <c r="G247" s="9" t="n">
        <f aca="false">Cleaned_Prepared_Data!M247</f>
        <v>799046.94</v>
      </c>
    </row>
    <row r="248" customFormat="false" ht="15" hidden="false" customHeight="true" outlineLevel="0" collapsed="false">
      <c r="A248" s="9" t="str">
        <f aca="false">Cleaned_Prepared_Data!A248</f>
        <v>STR-1064</v>
      </c>
      <c r="B248" s="10" t="n">
        <f aca="false">Cleaned_Prepared_Data!B248</f>
        <v>45717</v>
      </c>
      <c r="C248" s="9" t="str">
        <f aca="false">Cleaned_Prepared_Data!D248</f>
        <v>Airport</v>
      </c>
      <c r="D248" s="4" t="n">
        <f aca="false">IF(C248="Airport",1,0)</f>
        <v>1</v>
      </c>
      <c r="E248" s="4" t="n">
        <f aca="false">IF(C248="Mall",1,0)</f>
        <v>0</v>
      </c>
      <c r="F248" s="4" t="n">
        <f aca="false">IF(C248="Residential",1,0)</f>
        <v>0</v>
      </c>
      <c r="G248" s="9" t="n">
        <f aca="false">Cleaned_Prepared_Data!M248</f>
        <v>720079.54</v>
      </c>
    </row>
    <row r="249" customFormat="false" ht="15" hidden="false" customHeight="true" outlineLevel="0" collapsed="false">
      <c r="A249" s="9" t="str">
        <f aca="false">Cleaned_Prepared_Data!A249</f>
        <v>STR-1064</v>
      </c>
      <c r="B249" s="10" t="n">
        <f aca="false">Cleaned_Prepared_Data!B249</f>
        <v>45748</v>
      </c>
      <c r="C249" s="9" t="str">
        <f aca="false">Cleaned_Prepared_Data!D249</f>
        <v>Airport</v>
      </c>
      <c r="D249" s="4" t="n">
        <f aca="false">IF(C249="Airport",1,0)</f>
        <v>1</v>
      </c>
      <c r="E249" s="4" t="n">
        <f aca="false">IF(C249="Mall",1,0)</f>
        <v>0</v>
      </c>
      <c r="F249" s="4" t="n">
        <f aca="false">IF(C249="Residential",1,0)</f>
        <v>0</v>
      </c>
      <c r="G249" s="9" t="n">
        <f aca="false">Cleaned_Prepared_Data!M249</f>
        <v>612390.14</v>
      </c>
    </row>
    <row r="250" customFormat="false" ht="15" hidden="false" customHeight="true" outlineLevel="0" collapsed="false">
      <c r="A250" s="9" t="str">
        <f aca="false">Cleaned_Prepared_Data!A250</f>
        <v>STR-1065</v>
      </c>
      <c r="B250" s="10" t="n">
        <f aca="false">Cleaned_Prepared_Data!B250</f>
        <v>45658</v>
      </c>
      <c r="C250" s="9" t="str">
        <f aca="false">Cleaned_Prepared_Data!D250</f>
        <v>Mall</v>
      </c>
      <c r="D250" s="4" t="n">
        <f aca="false">IF(C250="Airport",1,0)</f>
        <v>0</v>
      </c>
      <c r="E250" s="4" t="n">
        <f aca="false">IF(C250="Mall",1,0)</f>
        <v>1</v>
      </c>
      <c r="F250" s="4" t="n">
        <f aca="false">IF(C250="Residential",1,0)</f>
        <v>0</v>
      </c>
      <c r="G250" s="9" t="n">
        <f aca="false">Cleaned_Prepared_Data!M250</f>
        <v>840108.12</v>
      </c>
    </row>
    <row r="251" customFormat="false" ht="15" hidden="false" customHeight="true" outlineLevel="0" collapsed="false">
      <c r="A251" s="9" t="str">
        <f aca="false">Cleaned_Prepared_Data!A251</f>
        <v>STR-1065</v>
      </c>
      <c r="B251" s="10" t="n">
        <f aca="false">Cleaned_Prepared_Data!B251</f>
        <v>45689</v>
      </c>
      <c r="C251" s="9" t="str">
        <f aca="false">Cleaned_Prepared_Data!D251</f>
        <v>Mall</v>
      </c>
      <c r="D251" s="4" t="n">
        <f aca="false">IF(C251="Airport",1,0)</f>
        <v>0</v>
      </c>
      <c r="E251" s="4" t="n">
        <f aca="false">IF(C251="Mall",1,0)</f>
        <v>1</v>
      </c>
      <c r="F251" s="4" t="n">
        <f aca="false">IF(C251="Residential",1,0)</f>
        <v>0</v>
      </c>
      <c r="G251" s="9" t="n">
        <f aca="false">Cleaned_Prepared_Data!M251</f>
        <v>697888.09</v>
      </c>
    </row>
    <row r="252" customFormat="false" ht="15" hidden="false" customHeight="true" outlineLevel="0" collapsed="false">
      <c r="A252" s="9" t="str">
        <f aca="false">Cleaned_Prepared_Data!A252</f>
        <v>STR-1065</v>
      </c>
      <c r="B252" s="10" t="n">
        <f aca="false">Cleaned_Prepared_Data!B252</f>
        <v>45717</v>
      </c>
      <c r="C252" s="9" t="str">
        <f aca="false">Cleaned_Prepared_Data!D252</f>
        <v>Mall</v>
      </c>
      <c r="D252" s="4" t="n">
        <f aca="false">IF(C252="Airport",1,0)</f>
        <v>0</v>
      </c>
      <c r="E252" s="4" t="n">
        <f aca="false">IF(C252="Mall",1,0)</f>
        <v>1</v>
      </c>
      <c r="F252" s="4" t="n">
        <f aca="false">IF(C252="Residential",1,0)</f>
        <v>0</v>
      </c>
      <c r="G252" s="9" t="n">
        <f aca="false">Cleaned_Prepared_Data!M252</f>
        <v>746115.59</v>
      </c>
    </row>
    <row r="253" customFormat="false" ht="15" hidden="false" customHeight="true" outlineLevel="0" collapsed="false">
      <c r="A253" s="9" t="str">
        <f aca="false">Cleaned_Prepared_Data!A253</f>
        <v>STR-1065</v>
      </c>
      <c r="B253" s="10" t="n">
        <f aca="false">Cleaned_Prepared_Data!B253</f>
        <v>45748</v>
      </c>
      <c r="C253" s="9" t="str">
        <f aca="false">Cleaned_Prepared_Data!D253</f>
        <v>Mall</v>
      </c>
      <c r="D253" s="4" t="n">
        <f aca="false">IF(C253="Airport",1,0)</f>
        <v>0</v>
      </c>
      <c r="E253" s="4" t="n">
        <f aca="false">IF(C253="Mall",1,0)</f>
        <v>1</v>
      </c>
      <c r="F253" s="4" t="n">
        <f aca="false">IF(C253="Residential",1,0)</f>
        <v>0</v>
      </c>
      <c r="G253" s="9" t="n">
        <f aca="false">Cleaned_Prepared_Data!M253</f>
        <v>776110.32</v>
      </c>
    </row>
    <row r="254" customFormat="false" ht="15" hidden="false" customHeight="true" outlineLevel="0" collapsed="false">
      <c r="A254" s="9" t="str">
        <f aca="false">Cleaned_Prepared_Data!A254</f>
        <v>STR-1066</v>
      </c>
      <c r="B254" s="10" t="n">
        <f aca="false">Cleaned_Prepared_Data!B254</f>
        <v>45658</v>
      </c>
      <c r="C254" s="9" t="str">
        <f aca="false">Cleaned_Prepared_Data!D254</f>
        <v>High Street</v>
      </c>
      <c r="D254" s="4" t="n">
        <f aca="false">IF(C254="Airport",1,0)</f>
        <v>0</v>
      </c>
      <c r="E254" s="4" t="n">
        <f aca="false">IF(C254="Mall",1,0)</f>
        <v>0</v>
      </c>
      <c r="F254" s="4" t="n">
        <f aca="false">IF(C254="Residential",1,0)</f>
        <v>0</v>
      </c>
      <c r="G254" s="9" t="n">
        <f aca="false">Cleaned_Prepared_Data!M254</f>
        <v>528852.62</v>
      </c>
    </row>
    <row r="255" customFormat="false" ht="15" hidden="false" customHeight="true" outlineLevel="0" collapsed="false">
      <c r="A255" s="9" t="str">
        <f aca="false">Cleaned_Prepared_Data!A255</f>
        <v>STR-1066</v>
      </c>
      <c r="B255" s="10" t="n">
        <f aca="false">Cleaned_Prepared_Data!B255</f>
        <v>45717</v>
      </c>
      <c r="C255" s="9" t="str">
        <f aca="false">Cleaned_Prepared_Data!D255</f>
        <v>High Street</v>
      </c>
      <c r="D255" s="4" t="n">
        <f aca="false">IF(C255="Airport",1,0)</f>
        <v>0</v>
      </c>
      <c r="E255" s="4" t="n">
        <f aca="false">IF(C255="Mall",1,0)</f>
        <v>0</v>
      </c>
      <c r="F255" s="4" t="n">
        <f aca="false">IF(C255="Residential",1,0)</f>
        <v>0</v>
      </c>
      <c r="G255" s="9" t="n">
        <f aca="false">Cleaned_Prepared_Data!M255</f>
        <v>677640.65</v>
      </c>
    </row>
    <row r="256" customFormat="false" ht="15" hidden="false" customHeight="true" outlineLevel="0" collapsed="false">
      <c r="A256" s="9" t="str">
        <f aca="false">Cleaned_Prepared_Data!A256</f>
        <v>STR-1066</v>
      </c>
      <c r="B256" s="10" t="n">
        <f aca="false">Cleaned_Prepared_Data!B256</f>
        <v>45748</v>
      </c>
      <c r="C256" s="9" t="str">
        <f aca="false">Cleaned_Prepared_Data!D256</f>
        <v>High Street</v>
      </c>
      <c r="D256" s="4" t="n">
        <f aca="false">IF(C256="Airport",1,0)</f>
        <v>0</v>
      </c>
      <c r="E256" s="4" t="n">
        <f aca="false">IF(C256="Mall",1,0)</f>
        <v>0</v>
      </c>
      <c r="F256" s="4" t="n">
        <f aca="false">IF(C256="Residential",1,0)</f>
        <v>0</v>
      </c>
      <c r="G256" s="9" t="n">
        <f aca="false">Cleaned_Prepared_Data!M256</f>
        <v>636613.23</v>
      </c>
    </row>
    <row r="257" customFormat="false" ht="15" hidden="false" customHeight="true" outlineLevel="0" collapsed="false">
      <c r="A257" s="9" t="str">
        <f aca="false">Cleaned_Prepared_Data!A257</f>
        <v>STR-1067</v>
      </c>
      <c r="B257" s="10" t="n">
        <f aca="false">Cleaned_Prepared_Data!B257</f>
        <v>45658</v>
      </c>
      <c r="C257" s="9" t="str">
        <f aca="false">Cleaned_Prepared_Data!D257</f>
        <v>High Street</v>
      </c>
      <c r="D257" s="4" t="n">
        <f aca="false">IF(C257="Airport",1,0)</f>
        <v>0</v>
      </c>
      <c r="E257" s="4" t="n">
        <f aca="false">IF(C257="Mall",1,0)</f>
        <v>0</v>
      </c>
      <c r="F257" s="4" t="n">
        <f aca="false">IF(C257="Residential",1,0)</f>
        <v>0</v>
      </c>
      <c r="G257" s="9" t="n">
        <f aca="false">Cleaned_Prepared_Data!M257</f>
        <v>708985.19</v>
      </c>
    </row>
    <row r="258" customFormat="false" ht="15" hidden="false" customHeight="true" outlineLevel="0" collapsed="false">
      <c r="A258" s="9" t="str">
        <f aca="false">Cleaned_Prepared_Data!A258</f>
        <v>STR-1067</v>
      </c>
      <c r="B258" s="10" t="n">
        <f aca="false">Cleaned_Prepared_Data!B258</f>
        <v>45689</v>
      </c>
      <c r="C258" s="9" t="str">
        <f aca="false">Cleaned_Prepared_Data!D258</f>
        <v>High Street</v>
      </c>
      <c r="D258" s="4" t="n">
        <f aca="false">IF(C258="Airport",1,0)</f>
        <v>0</v>
      </c>
      <c r="E258" s="4" t="n">
        <f aca="false">IF(C258="Mall",1,0)</f>
        <v>0</v>
      </c>
      <c r="F258" s="4" t="n">
        <f aca="false">IF(C258="Residential",1,0)</f>
        <v>0</v>
      </c>
      <c r="G258" s="9" t="n">
        <f aca="false">Cleaned_Prepared_Data!M258</f>
        <v>767792.94</v>
      </c>
    </row>
    <row r="259" customFormat="false" ht="15" hidden="false" customHeight="true" outlineLevel="0" collapsed="false">
      <c r="A259" s="9" t="str">
        <f aca="false">Cleaned_Prepared_Data!A259</f>
        <v>STR-1067</v>
      </c>
      <c r="B259" s="10" t="n">
        <f aca="false">Cleaned_Prepared_Data!B259</f>
        <v>45717</v>
      </c>
      <c r="C259" s="9" t="str">
        <f aca="false">Cleaned_Prepared_Data!D259</f>
        <v>High Street</v>
      </c>
      <c r="D259" s="4" t="n">
        <f aca="false">IF(C259="Airport",1,0)</f>
        <v>0</v>
      </c>
      <c r="E259" s="4" t="n">
        <f aca="false">IF(C259="Mall",1,0)</f>
        <v>0</v>
      </c>
      <c r="F259" s="4" t="n">
        <f aca="false">IF(C259="Residential",1,0)</f>
        <v>0</v>
      </c>
      <c r="G259" s="9" t="n">
        <f aca="false">Cleaned_Prepared_Data!M259</f>
        <v>745580.51</v>
      </c>
    </row>
    <row r="260" customFormat="false" ht="15" hidden="false" customHeight="true" outlineLevel="0" collapsed="false">
      <c r="A260" s="9" t="str">
        <f aca="false">Cleaned_Prepared_Data!A260</f>
        <v>STR-1067</v>
      </c>
      <c r="B260" s="10" t="n">
        <f aca="false">Cleaned_Prepared_Data!B260</f>
        <v>45748</v>
      </c>
      <c r="C260" s="9" t="str">
        <f aca="false">Cleaned_Prepared_Data!D260</f>
        <v>High Street</v>
      </c>
      <c r="D260" s="4" t="n">
        <f aca="false">IF(C260="Airport",1,0)</f>
        <v>0</v>
      </c>
      <c r="E260" s="4" t="n">
        <f aca="false">IF(C260="Mall",1,0)</f>
        <v>0</v>
      </c>
      <c r="F260" s="4" t="n">
        <f aca="false">IF(C260="Residential",1,0)</f>
        <v>0</v>
      </c>
      <c r="G260" s="9" t="n">
        <f aca="false">Cleaned_Prepared_Data!M260</f>
        <v>762328.31</v>
      </c>
    </row>
    <row r="261" customFormat="false" ht="15" hidden="false" customHeight="true" outlineLevel="0" collapsed="false">
      <c r="A261" s="9" t="str">
        <f aca="false">Cleaned_Prepared_Data!A261</f>
        <v>STR-1068</v>
      </c>
      <c r="B261" s="10" t="n">
        <f aca="false">Cleaned_Prepared_Data!B261</f>
        <v>45658</v>
      </c>
      <c r="C261" s="9" t="str">
        <f aca="false">Cleaned_Prepared_Data!D261</f>
        <v>Mall</v>
      </c>
      <c r="D261" s="4" t="n">
        <f aca="false">IF(C261="Airport",1,0)</f>
        <v>0</v>
      </c>
      <c r="E261" s="4" t="n">
        <f aca="false">IF(C261="Mall",1,0)</f>
        <v>1</v>
      </c>
      <c r="F261" s="4" t="n">
        <f aca="false">IF(C261="Residential",1,0)</f>
        <v>0</v>
      </c>
      <c r="G261" s="9" t="n">
        <f aca="false">Cleaned_Prepared_Data!M261</f>
        <v>660633.99</v>
      </c>
    </row>
    <row r="262" customFormat="false" ht="15" hidden="false" customHeight="true" outlineLevel="0" collapsed="false">
      <c r="A262" s="9" t="str">
        <f aca="false">Cleaned_Prepared_Data!A262</f>
        <v>STR-1068</v>
      </c>
      <c r="B262" s="10" t="n">
        <f aca="false">Cleaned_Prepared_Data!B262</f>
        <v>45689</v>
      </c>
      <c r="C262" s="9" t="str">
        <f aca="false">Cleaned_Prepared_Data!D262</f>
        <v>Mall</v>
      </c>
      <c r="D262" s="4" t="n">
        <f aca="false">IF(C262="Airport",1,0)</f>
        <v>0</v>
      </c>
      <c r="E262" s="4" t="n">
        <f aca="false">IF(C262="Mall",1,0)</f>
        <v>1</v>
      </c>
      <c r="F262" s="4" t="n">
        <f aca="false">IF(C262="Residential",1,0)</f>
        <v>0</v>
      </c>
      <c r="G262" s="9" t="n">
        <f aca="false">Cleaned_Prepared_Data!M262</f>
        <v>739374.56</v>
      </c>
    </row>
    <row r="263" customFormat="false" ht="15" hidden="false" customHeight="true" outlineLevel="0" collapsed="false">
      <c r="A263" s="9" t="str">
        <f aca="false">Cleaned_Prepared_Data!A263</f>
        <v>STR-1068</v>
      </c>
      <c r="B263" s="10" t="n">
        <f aca="false">Cleaned_Prepared_Data!B263</f>
        <v>45717</v>
      </c>
      <c r="C263" s="9" t="str">
        <f aca="false">Cleaned_Prepared_Data!D263</f>
        <v>Mall</v>
      </c>
      <c r="D263" s="4" t="n">
        <f aca="false">IF(C263="Airport",1,0)</f>
        <v>0</v>
      </c>
      <c r="E263" s="4" t="n">
        <f aca="false">IF(C263="Mall",1,0)</f>
        <v>1</v>
      </c>
      <c r="F263" s="4" t="n">
        <f aca="false">IF(C263="Residential",1,0)</f>
        <v>0</v>
      </c>
      <c r="G263" s="9" t="n">
        <f aca="false">Cleaned_Prepared_Data!M263</f>
        <v>799756.46</v>
      </c>
    </row>
    <row r="264" customFormat="false" ht="15" hidden="false" customHeight="true" outlineLevel="0" collapsed="false">
      <c r="A264" s="9" t="str">
        <f aca="false">Cleaned_Prepared_Data!A264</f>
        <v>STR-1068</v>
      </c>
      <c r="B264" s="10" t="n">
        <f aca="false">Cleaned_Prepared_Data!B264</f>
        <v>45748</v>
      </c>
      <c r="C264" s="9" t="str">
        <f aca="false">Cleaned_Prepared_Data!D264</f>
        <v>Mall</v>
      </c>
      <c r="D264" s="4" t="n">
        <f aca="false">IF(C264="Airport",1,0)</f>
        <v>0</v>
      </c>
      <c r="E264" s="4" t="n">
        <f aca="false">IF(C264="Mall",1,0)</f>
        <v>1</v>
      </c>
      <c r="F264" s="4" t="n">
        <f aca="false">IF(C264="Residential",1,0)</f>
        <v>0</v>
      </c>
      <c r="G264" s="9" t="n">
        <f aca="false">Cleaned_Prepared_Data!M264</f>
        <v>593343</v>
      </c>
    </row>
    <row r="265" customFormat="false" ht="15" hidden="false" customHeight="true" outlineLevel="0" collapsed="false">
      <c r="A265" s="9" t="str">
        <f aca="false">Cleaned_Prepared_Data!A265</f>
        <v>STR-1069</v>
      </c>
      <c r="B265" s="10" t="n">
        <f aca="false">Cleaned_Prepared_Data!B265</f>
        <v>45658</v>
      </c>
      <c r="C265" s="9" t="str">
        <f aca="false">Cleaned_Prepared_Data!D265</f>
        <v>High Street</v>
      </c>
      <c r="D265" s="4" t="n">
        <f aca="false">IF(C265="Airport",1,0)</f>
        <v>0</v>
      </c>
      <c r="E265" s="4" t="n">
        <f aca="false">IF(C265="Mall",1,0)</f>
        <v>0</v>
      </c>
      <c r="F265" s="4" t="n">
        <f aca="false">IF(C265="Residential",1,0)</f>
        <v>0</v>
      </c>
      <c r="G265" s="9" t="n">
        <f aca="false">Cleaned_Prepared_Data!M265</f>
        <v>645039.97</v>
      </c>
    </row>
    <row r="266" customFormat="false" ht="15" hidden="false" customHeight="true" outlineLevel="0" collapsed="false">
      <c r="A266" s="9" t="str">
        <f aca="false">Cleaned_Prepared_Data!A266</f>
        <v>STR-1069</v>
      </c>
      <c r="B266" s="10" t="n">
        <f aca="false">Cleaned_Prepared_Data!B266</f>
        <v>45689</v>
      </c>
      <c r="C266" s="9" t="str">
        <f aca="false">Cleaned_Prepared_Data!D266</f>
        <v>High Street</v>
      </c>
      <c r="D266" s="4" t="n">
        <f aca="false">IF(C266="Airport",1,0)</f>
        <v>0</v>
      </c>
      <c r="E266" s="4" t="n">
        <f aca="false">IF(C266="Mall",1,0)</f>
        <v>0</v>
      </c>
      <c r="F266" s="4" t="n">
        <f aca="false">IF(C266="Residential",1,0)</f>
        <v>0</v>
      </c>
      <c r="G266" s="9" t="n">
        <f aca="false">Cleaned_Prepared_Data!M266</f>
        <v>561597.33</v>
      </c>
    </row>
    <row r="267" customFormat="false" ht="15" hidden="false" customHeight="true" outlineLevel="0" collapsed="false">
      <c r="A267" s="9" t="str">
        <f aca="false">Cleaned_Prepared_Data!A267</f>
        <v>STR-1069</v>
      </c>
      <c r="B267" s="10" t="n">
        <f aca="false">Cleaned_Prepared_Data!B267</f>
        <v>45717</v>
      </c>
      <c r="C267" s="9" t="str">
        <f aca="false">Cleaned_Prepared_Data!D267</f>
        <v>High Street</v>
      </c>
      <c r="D267" s="4" t="n">
        <f aca="false">IF(C267="Airport",1,0)</f>
        <v>0</v>
      </c>
      <c r="E267" s="4" t="n">
        <f aca="false">IF(C267="Mall",1,0)</f>
        <v>0</v>
      </c>
      <c r="F267" s="4" t="n">
        <f aca="false">IF(C267="Residential",1,0)</f>
        <v>0</v>
      </c>
      <c r="G267" s="9" t="n">
        <f aca="false">Cleaned_Prepared_Data!M267</f>
        <v>635837.74</v>
      </c>
    </row>
    <row r="268" customFormat="false" ht="15" hidden="false" customHeight="true" outlineLevel="0" collapsed="false">
      <c r="A268" s="9" t="str">
        <f aca="false">Cleaned_Prepared_Data!A268</f>
        <v>STR-1069</v>
      </c>
      <c r="B268" s="10" t="n">
        <f aca="false">Cleaned_Prepared_Data!B268</f>
        <v>45748</v>
      </c>
      <c r="C268" s="9" t="str">
        <f aca="false">Cleaned_Prepared_Data!D268</f>
        <v>High Street</v>
      </c>
      <c r="D268" s="4" t="n">
        <f aca="false">IF(C268="Airport",1,0)</f>
        <v>0</v>
      </c>
      <c r="E268" s="4" t="n">
        <f aca="false">IF(C268="Mall",1,0)</f>
        <v>0</v>
      </c>
      <c r="F268" s="4" t="n">
        <f aca="false">IF(C268="Residential",1,0)</f>
        <v>0</v>
      </c>
      <c r="G268" s="9" t="n">
        <f aca="false">Cleaned_Prepared_Data!M268</f>
        <v>686737.87</v>
      </c>
    </row>
    <row r="269" customFormat="false" ht="15" hidden="false" customHeight="true" outlineLevel="0" collapsed="false">
      <c r="A269" s="9" t="str">
        <f aca="false">Cleaned_Prepared_Data!A269</f>
        <v>STR-1070</v>
      </c>
      <c r="B269" s="10" t="n">
        <f aca="false">Cleaned_Prepared_Data!B269</f>
        <v>45658</v>
      </c>
      <c r="C269" s="9" t="str">
        <f aca="false">Cleaned_Prepared_Data!D269</f>
        <v>Residential</v>
      </c>
      <c r="D269" s="4" t="n">
        <f aca="false">IF(C269="Airport",1,0)</f>
        <v>0</v>
      </c>
      <c r="E269" s="4" t="n">
        <f aca="false">IF(C269="Mall",1,0)</f>
        <v>0</v>
      </c>
      <c r="F269" s="4" t="n">
        <f aca="false">IF(C269="Residential",1,0)</f>
        <v>1</v>
      </c>
      <c r="G269" s="9" t="n">
        <f aca="false">Cleaned_Prepared_Data!M269</f>
        <v>673076.34</v>
      </c>
    </row>
    <row r="270" customFormat="false" ht="15" hidden="false" customHeight="true" outlineLevel="0" collapsed="false">
      <c r="A270" s="9" t="str">
        <f aca="false">Cleaned_Prepared_Data!A270</f>
        <v>STR-1070</v>
      </c>
      <c r="B270" s="10" t="n">
        <f aca="false">Cleaned_Prepared_Data!B270</f>
        <v>45689</v>
      </c>
      <c r="C270" s="9" t="str">
        <f aca="false">Cleaned_Prepared_Data!D270</f>
        <v>Residential</v>
      </c>
      <c r="D270" s="4" t="n">
        <f aca="false">IF(C270="Airport",1,0)</f>
        <v>0</v>
      </c>
      <c r="E270" s="4" t="n">
        <f aca="false">IF(C270="Mall",1,0)</f>
        <v>0</v>
      </c>
      <c r="F270" s="4" t="n">
        <f aca="false">IF(C270="Residential",1,0)</f>
        <v>1</v>
      </c>
      <c r="G270" s="9" t="n">
        <f aca="false">Cleaned_Prepared_Data!M270</f>
        <v>738548.42</v>
      </c>
    </row>
    <row r="271" customFormat="false" ht="15" hidden="false" customHeight="true" outlineLevel="0" collapsed="false">
      <c r="A271" s="9" t="str">
        <f aca="false">Cleaned_Prepared_Data!A271</f>
        <v>STR-1070</v>
      </c>
      <c r="B271" s="10" t="n">
        <f aca="false">Cleaned_Prepared_Data!B271</f>
        <v>45717</v>
      </c>
      <c r="C271" s="9" t="str">
        <f aca="false">Cleaned_Prepared_Data!D271</f>
        <v>Residential</v>
      </c>
      <c r="D271" s="4" t="n">
        <f aca="false">IF(C271="Airport",1,0)</f>
        <v>0</v>
      </c>
      <c r="E271" s="4" t="n">
        <f aca="false">IF(C271="Mall",1,0)</f>
        <v>0</v>
      </c>
      <c r="F271" s="4" t="n">
        <f aca="false">IF(C271="Residential",1,0)</f>
        <v>1</v>
      </c>
      <c r="G271" s="9" t="n">
        <f aca="false">Cleaned_Prepared_Data!M271</f>
        <v>756619.77</v>
      </c>
    </row>
    <row r="272" customFormat="false" ht="15" hidden="false" customHeight="true" outlineLevel="0" collapsed="false">
      <c r="A272" s="9" t="str">
        <f aca="false">Cleaned_Prepared_Data!A272</f>
        <v>STR-1070</v>
      </c>
      <c r="B272" s="10" t="n">
        <f aca="false">Cleaned_Prepared_Data!B272</f>
        <v>45748</v>
      </c>
      <c r="C272" s="9" t="str">
        <f aca="false">Cleaned_Prepared_Data!D272</f>
        <v>Residential</v>
      </c>
      <c r="D272" s="4" t="n">
        <f aca="false">IF(C272="Airport",1,0)</f>
        <v>0</v>
      </c>
      <c r="E272" s="4" t="n">
        <f aca="false">IF(C272="Mall",1,0)</f>
        <v>0</v>
      </c>
      <c r="F272" s="4" t="n">
        <f aca="false">IF(C272="Residential",1,0)</f>
        <v>1</v>
      </c>
      <c r="G272" s="9" t="n">
        <f aca="false">Cleaned_Prepared_Data!M272</f>
        <v>761122.42</v>
      </c>
    </row>
    <row r="273" customFormat="false" ht="15" hidden="false" customHeight="true" outlineLevel="0" collapsed="false">
      <c r="A273" s="9" t="str">
        <f aca="false">Cleaned_Prepared_Data!A273</f>
        <v>STR-1071</v>
      </c>
      <c r="B273" s="10" t="n">
        <f aca="false">Cleaned_Prepared_Data!B273</f>
        <v>45658</v>
      </c>
      <c r="C273" s="9" t="str">
        <f aca="false">Cleaned_Prepared_Data!D273</f>
        <v>High Street</v>
      </c>
      <c r="D273" s="4" t="n">
        <f aca="false">IF(C273="Airport",1,0)</f>
        <v>0</v>
      </c>
      <c r="E273" s="4" t="n">
        <f aca="false">IF(C273="Mall",1,0)</f>
        <v>0</v>
      </c>
      <c r="F273" s="4" t="n">
        <f aca="false">IF(C273="Residential",1,0)</f>
        <v>0</v>
      </c>
      <c r="G273" s="9" t="n">
        <f aca="false">Cleaned_Prepared_Data!M273</f>
        <v>524899.57</v>
      </c>
    </row>
    <row r="274" customFormat="false" ht="15" hidden="false" customHeight="true" outlineLevel="0" collapsed="false">
      <c r="A274" s="9" t="str">
        <f aca="false">Cleaned_Prepared_Data!A274</f>
        <v>STR-1071</v>
      </c>
      <c r="B274" s="10" t="n">
        <f aca="false">Cleaned_Prepared_Data!B274</f>
        <v>45689</v>
      </c>
      <c r="C274" s="9" t="str">
        <f aca="false">Cleaned_Prepared_Data!D274</f>
        <v>High Street</v>
      </c>
      <c r="D274" s="4" t="n">
        <f aca="false">IF(C274="Airport",1,0)</f>
        <v>0</v>
      </c>
      <c r="E274" s="4" t="n">
        <f aca="false">IF(C274="Mall",1,0)</f>
        <v>0</v>
      </c>
      <c r="F274" s="4" t="n">
        <f aca="false">IF(C274="Residential",1,0)</f>
        <v>0</v>
      </c>
      <c r="G274" s="9" t="n">
        <f aca="false">Cleaned_Prepared_Data!M274</f>
        <v>555557.77</v>
      </c>
    </row>
    <row r="275" customFormat="false" ht="15" hidden="false" customHeight="true" outlineLevel="0" collapsed="false">
      <c r="A275" s="9" t="str">
        <f aca="false">Cleaned_Prepared_Data!A275</f>
        <v>STR-1071</v>
      </c>
      <c r="B275" s="10" t="n">
        <f aca="false">Cleaned_Prepared_Data!B275</f>
        <v>45717</v>
      </c>
      <c r="C275" s="9" t="str">
        <f aca="false">Cleaned_Prepared_Data!D275</f>
        <v>High Street</v>
      </c>
      <c r="D275" s="4" t="n">
        <f aca="false">IF(C275="Airport",1,0)</f>
        <v>0</v>
      </c>
      <c r="E275" s="4" t="n">
        <f aca="false">IF(C275="Mall",1,0)</f>
        <v>0</v>
      </c>
      <c r="F275" s="4" t="n">
        <f aca="false">IF(C275="Residential",1,0)</f>
        <v>0</v>
      </c>
      <c r="G275" s="9" t="n">
        <f aca="false">Cleaned_Prepared_Data!M275</f>
        <v>714083.68</v>
      </c>
    </row>
    <row r="276" customFormat="false" ht="15" hidden="false" customHeight="true" outlineLevel="0" collapsed="false">
      <c r="A276" s="9" t="str">
        <f aca="false">Cleaned_Prepared_Data!A276</f>
        <v>STR-1071</v>
      </c>
      <c r="B276" s="10" t="n">
        <f aca="false">Cleaned_Prepared_Data!B276</f>
        <v>45748</v>
      </c>
      <c r="C276" s="9" t="str">
        <f aca="false">Cleaned_Prepared_Data!D276</f>
        <v>High Street</v>
      </c>
      <c r="D276" s="4" t="n">
        <f aca="false">IF(C276="Airport",1,0)</f>
        <v>0</v>
      </c>
      <c r="E276" s="4" t="n">
        <f aca="false">IF(C276="Mall",1,0)</f>
        <v>0</v>
      </c>
      <c r="F276" s="4" t="n">
        <f aca="false">IF(C276="Residential",1,0)</f>
        <v>0</v>
      </c>
      <c r="G276" s="9" t="n">
        <f aca="false">Cleaned_Prepared_Data!M276</f>
        <v>497439.82</v>
      </c>
    </row>
    <row r="277" customFormat="false" ht="15" hidden="false" customHeight="true" outlineLevel="0" collapsed="false">
      <c r="A277" s="9" t="str">
        <f aca="false">Cleaned_Prepared_Data!A277</f>
        <v>STR-1072</v>
      </c>
      <c r="B277" s="10" t="n">
        <f aca="false">Cleaned_Prepared_Data!B277</f>
        <v>45658</v>
      </c>
      <c r="C277" s="9" t="str">
        <f aca="false">Cleaned_Prepared_Data!D277</f>
        <v>Residential</v>
      </c>
      <c r="D277" s="4" t="n">
        <f aca="false">IF(C277="Airport",1,0)</f>
        <v>0</v>
      </c>
      <c r="E277" s="4" t="n">
        <f aca="false">IF(C277="Mall",1,0)</f>
        <v>0</v>
      </c>
      <c r="F277" s="4" t="n">
        <f aca="false">IF(C277="Residential",1,0)</f>
        <v>1</v>
      </c>
      <c r="G277" s="9" t="n">
        <f aca="false">Cleaned_Prepared_Data!M277</f>
        <v>636775.66</v>
      </c>
    </row>
    <row r="278" customFormat="false" ht="15" hidden="false" customHeight="true" outlineLevel="0" collapsed="false">
      <c r="A278" s="9" t="str">
        <f aca="false">Cleaned_Prepared_Data!A278</f>
        <v>STR-1072</v>
      </c>
      <c r="B278" s="10" t="n">
        <f aca="false">Cleaned_Prepared_Data!B278</f>
        <v>45689</v>
      </c>
      <c r="C278" s="9" t="str">
        <f aca="false">Cleaned_Prepared_Data!D278</f>
        <v>Residential</v>
      </c>
      <c r="D278" s="4" t="n">
        <f aca="false">IF(C278="Airport",1,0)</f>
        <v>0</v>
      </c>
      <c r="E278" s="4" t="n">
        <f aca="false">IF(C278="Mall",1,0)</f>
        <v>0</v>
      </c>
      <c r="F278" s="4" t="n">
        <f aca="false">IF(C278="Residential",1,0)</f>
        <v>1</v>
      </c>
      <c r="G278" s="9" t="n">
        <f aca="false">Cleaned_Prepared_Data!M278</f>
        <v>633009.53</v>
      </c>
    </row>
    <row r="279" customFormat="false" ht="15" hidden="false" customHeight="true" outlineLevel="0" collapsed="false">
      <c r="A279" s="9" t="str">
        <f aca="false">Cleaned_Prepared_Data!A279</f>
        <v>STR-1072</v>
      </c>
      <c r="B279" s="10" t="n">
        <f aca="false">Cleaned_Prepared_Data!B279</f>
        <v>45717</v>
      </c>
      <c r="C279" s="9" t="str">
        <f aca="false">Cleaned_Prepared_Data!D279</f>
        <v>Residential</v>
      </c>
      <c r="D279" s="4" t="n">
        <f aca="false">IF(C279="Airport",1,0)</f>
        <v>0</v>
      </c>
      <c r="E279" s="4" t="n">
        <f aca="false">IF(C279="Mall",1,0)</f>
        <v>0</v>
      </c>
      <c r="F279" s="4" t="n">
        <f aca="false">IF(C279="Residential",1,0)</f>
        <v>1</v>
      </c>
      <c r="G279" s="9" t="n">
        <f aca="false">Cleaned_Prepared_Data!M279</f>
        <v>609949</v>
      </c>
    </row>
    <row r="280" customFormat="false" ht="15" hidden="false" customHeight="true" outlineLevel="0" collapsed="false">
      <c r="A280" s="9" t="str">
        <f aca="false">Cleaned_Prepared_Data!A280</f>
        <v>STR-1072</v>
      </c>
      <c r="B280" s="10" t="n">
        <f aca="false">Cleaned_Prepared_Data!B280</f>
        <v>45748</v>
      </c>
      <c r="C280" s="9" t="str">
        <f aca="false">Cleaned_Prepared_Data!D280</f>
        <v>Residential</v>
      </c>
      <c r="D280" s="4" t="n">
        <f aca="false">IF(C280="Airport",1,0)</f>
        <v>0</v>
      </c>
      <c r="E280" s="4" t="n">
        <f aca="false">IF(C280="Mall",1,0)</f>
        <v>0</v>
      </c>
      <c r="F280" s="4" t="n">
        <f aca="false">IF(C280="Residential",1,0)</f>
        <v>1</v>
      </c>
      <c r="G280" s="9" t="n">
        <f aca="false">Cleaned_Prepared_Data!M280</f>
        <v>548103.7</v>
      </c>
    </row>
    <row r="281" customFormat="false" ht="15" hidden="false" customHeight="true" outlineLevel="0" collapsed="false">
      <c r="A281" s="9" t="str">
        <f aca="false">Cleaned_Prepared_Data!A281</f>
        <v>STR-1073</v>
      </c>
      <c r="B281" s="10" t="n">
        <f aca="false">Cleaned_Prepared_Data!B281</f>
        <v>45658</v>
      </c>
      <c r="C281" s="9" t="str">
        <f aca="false">Cleaned_Prepared_Data!D281</f>
        <v>Residential</v>
      </c>
      <c r="D281" s="4" t="n">
        <f aca="false">IF(C281="Airport",1,0)</f>
        <v>0</v>
      </c>
      <c r="E281" s="4" t="n">
        <f aca="false">IF(C281="Mall",1,0)</f>
        <v>0</v>
      </c>
      <c r="F281" s="4" t="n">
        <f aca="false">IF(C281="Residential",1,0)</f>
        <v>1</v>
      </c>
      <c r="G281" s="9" t="n">
        <f aca="false">Cleaned_Prepared_Data!M281</f>
        <v>729424.42</v>
      </c>
    </row>
    <row r="282" customFormat="false" ht="15" hidden="false" customHeight="true" outlineLevel="0" collapsed="false">
      <c r="A282" s="9" t="str">
        <f aca="false">Cleaned_Prepared_Data!A282</f>
        <v>STR-1073</v>
      </c>
      <c r="B282" s="10" t="n">
        <f aca="false">Cleaned_Prepared_Data!B282</f>
        <v>45689</v>
      </c>
      <c r="C282" s="9" t="str">
        <f aca="false">Cleaned_Prepared_Data!D282</f>
        <v>Residential</v>
      </c>
      <c r="D282" s="4" t="n">
        <f aca="false">IF(C282="Airport",1,0)</f>
        <v>0</v>
      </c>
      <c r="E282" s="4" t="n">
        <f aca="false">IF(C282="Mall",1,0)</f>
        <v>0</v>
      </c>
      <c r="F282" s="4" t="n">
        <f aca="false">IF(C282="Residential",1,0)</f>
        <v>1</v>
      </c>
      <c r="G282" s="9" t="n">
        <f aca="false">Cleaned_Prepared_Data!M282</f>
        <v>696261.49</v>
      </c>
    </row>
    <row r="283" customFormat="false" ht="15" hidden="false" customHeight="true" outlineLevel="0" collapsed="false">
      <c r="A283" s="9" t="str">
        <f aca="false">Cleaned_Prepared_Data!A283</f>
        <v>STR-1073</v>
      </c>
      <c r="B283" s="10" t="n">
        <f aca="false">Cleaned_Prepared_Data!B283</f>
        <v>45717</v>
      </c>
      <c r="C283" s="9" t="str">
        <f aca="false">Cleaned_Prepared_Data!D283</f>
        <v>Residential</v>
      </c>
      <c r="D283" s="4" t="n">
        <f aca="false">IF(C283="Airport",1,0)</f>
        <v>0</v>
      </c>
      <c r="E283" s="4" t="n">
        <f aca="false">IF(C283="Mall",1,0)</f>
        <v>0</v>
      </c>
      <c r="F283" s="4" t="n">
        <f aca="false">IF(C283="Residential",1,0)</f>
        <v>1</v>
      </c>
      <c r="G283" s="9" t="n">
        <f aca="false">Cleaned_Prepared_Data!M283</f>
        <v>813316.71</v>
      </c>
    </row>
    <row r="284" customFormat="false" ht="15" hidden="false" customHeight="true" outlineLevel="0" collapsed="false">
      <c r="A284" s="9" t="str">
        <f aca="false">Cleaned_Prepared_Data!A284</f>
        <v>STR-1073</v>
      </c>
      <c r="B284" s="10" t="n">
        <f aca="false">Cleaned_Prepared_Data!B284</f>
        <v>45748</v>
      </c>
      <c r="C284" s="9" t="str">
        <f aca="false">Cleaned_Prepared_Data!D284</f>
        <v>Residential</v>
      </c>
      <c r="D284" s="4" t="n">
        <f aca="false">IF(C284="Airport",1,0)</f>
        <v>0</v>
      </c>
      <c r="E284" s="4" t="n">
        <f aca="false">IF(C284="Mall",1,0)</f>
        <v>0</v>
      </c>
      <c r="F284" s="4" t="n">
        <f aca="false">IF(C284="Residential",1,0)</f>
        <v>1</v>
      </c>
      <c r="G284" s="9" t="n">
        <f aca="false">Cleaned_Prepared_Data!M284</f>
        <v>702068.92</v>
      </c>
    </row>
    <row r="285" customFormat="false" ht="15" hidden="false" customHeight="true" outlineLevel="0" collapsed="false">
      <c r="A285" s="9" t="str">
        <f aca="false">Cleaned_Prepared_Data!A285</f>
        <v>STR-1074</v>
      </c>
      <c r="B285" s="10" t="n">
        <f aca="false">Cleaned_Prepared_Data!B285</f>
        <v>45658</v>
      </c>
      <c r="C285" s="9" t="str">
        <f aca="false">Cleaned_Prepared_Data!D285</f>
        <v>High Street</v>
      </c>
      <c r="D285" s="4" t="n">
        <f aca="false">IF(C285="Airport",1,0)</f>
        <v>0</v>
      </c>
      <c r="E285" s="4" t="n">
        <f aca="false">IF(C285="Mall",1,0)</f>
        <v>0</v>
      </c>
      <c r="F285" s="4" t="n">
        <f aca="false">IF(C285="Residential",1,0)</f>
        <v>0</v>
      </c>
      <c r="G285" s="9" t="n">
        <f aca="false">Cleaned_Prepared_Data!M285</f>
        <v>546223.7</v>
      </c>
    </row>
    <row r="286" customFormat="false" ht="15" hidden="false" customHeight="true" outlineLevel="0" collapsed="false">
      <c r="A286" s="9" t="str">
        <f aca="false">Cleaned_Prepared_Data!A286</f>
        <v>STR-1074</v>
      </c>
      <c r="B286" s="10" t="n">
        <f aca="false">Cleaned_Prepared_Data!B286</f>
        <v>45689</v>
      </c>
      <c r="C286" s="9" t="str">
        <f aca="false">Cleaned_Prepared_Data!D286</f>
        <v>High Street</v>
      </c>
      <c r="D286" s="4" t="n">
        <f aca="false">IF(C286="Airport",1,0)</f>
        <v>0</v>
      </c>
      <c r="E286" s="4" t="n">
        <f aca="false">IF(C286="Mall",1,0)</f>
        <v>0</v>
      </c>
      <c r="F286" s="4" t="n">
        <f aca="false">IF(C286="Residential",1,0)</f>
        <v>0</v>
      </c>
      <c r="G286" s="9" t="n">
        <f aca="false">Cleaned_Prepared_Data!M286</f>
        <v>533121.26</v>
      </c>
    </row>
    <row r="287" customFormat="false" ht="15" hidden="false" customHeight="true" outlineLevel="0" collapsed="false">
      <c r="A287" s="9" t="str">
        <f aca="false">Cleaned_Prepared_Data!A287</f>
        <v>STR-1074</v>
      </c>
      <c r="B287" s="10" t="n">
        <f aca="false">Cleaned_Prepared_Data!B287</f>
        <v>45717</v>
      </c>
      <c r="C287" s="9" t="str">
        <f aca="false">Cleaned_Prepared_Data!D287</f>
        <v>High Street</v>
      </c>
      <c r="D287" s="4" t="n">
        <f aca="false">IF(C287="Airport",1,0)</f>
        <v>0</v>
      </c>
      <c r="E287" s="4" t="n">
        <f aca="false">IF(C287="Mall",1,0)</f>
        <v>0</v>
      </c>
      <c r="F287" s="4" t="n">
        <f aca="false">IF(C287="Residential",1,0)</f>
        <v>0</v>
      </c>
      <c r="G287" s="9" t="n">
        <f aca="false">Cleaned_Prepared_Data!M287</f>
        <v>498970.32</v>
      </c>
    </row>
    <row r="288" customFormat="false" ht="15" hidden="false" customHeight="true" outlineLevel="0" collapsed="false">
      <c r="A288" s="9" t="str">
        <f aca="false">Cleaned_Prepared_Data!A288</f>
        <v>STR-1074</v>
      </c>
      <c r="B288" s="10" t="n">
        <f aca="false">Cleaned_Prepared_Data!B288</f>
        <v>45748</v>
      </c>
      <c r="C288" s="9" t="str">
        <f aca="false">Cleaned_Prepared_Data!D288</f>
        <v>High Street</v>
      </c>
      <c r="D288" s="4" t="n">
        <f aca="false">IF(C288="Airport",1,0)</f>
        <v>0</v>
      </c>
      <c r="E288" s="4" t="n">
        <f aca="false">IF(C288="Mall",1,0)</f>
        <v>0</v>
      </c>
      <c r="F288" s="4" t="n">
        <f aca="false">IF(C288="Residential",1,0)</f>
        <v>0</v>
      </c>
      <c r="G288" s="9" t="n">
        <f aca="false">Cleaned_Prepared_Data!M288</f>
        <v>487738.26</v>
      </c>
    </row>
    <row r="289" customFormat="false" ht="15" hidden="false" customHeight="true" outlineLevel="0" collapsed="false">
      <c r="A289" s="9" t="str">
        <f aca="false">Cleaned_Prepared_Data!A289</f>
        <v>STR-1075</v>
      </c>
      <c r="B289" s="10" t="n">
        <f aca="false">Cleaned_Prepared_Data!B289</f>
        <v>45658</v>
      </c>
      <c r="C289" s="9" t="str">
        <f aca="false">Cleaned_Prepared_Data!D289</f>
        <v>High Street</v>
      </c>
      <c r="D289" s="4" t="n">
        <f aca="false">IF(C289="Airport",1,0)</f>
        <v>0</v>
      </c>
      <c r="E289" s="4" t="n">
        <f aca="false">IF(C289="Mall",1,0)</f>
        <v>0</v>
      </c>
      <c r="F289" s="4" t="n">
        <f aca="false">IF(C289="Residential",1,0)</f>
        <v>0</v>
      </c>
      <c r="G289" s="9" t="n">
        <f aca="false">Cleaned_Prepared_Data!M289</f>
        <v>668459.37</v>
      </c>
    </row>
    <row r="290" customFormat="false" ht="15" hidden="false" customHeight="true" outlineLevel="0" collapsed="false">
      <c r="A290" s="9" t="str">
        <f aca="false">Cleaned_Prepared_Data!A290</f>
        <v>STR-1075</v>
      </c>
      <c r="B290" s="10" t="n">
        <f aca="false">Cleaned_Prepared_Data!B290</f>
        <v>45689</v>
      </c>
      <c r="C290" s="9" t="str">
        <f aca="false">Cleaned_Prepared_Data!D290</f>
        <v>High Street</v>
      </c>
      <c r="D290" s="4" t="n">
        <f aca="false">IF(C290="Airport",1,0)</f>
        <v>0</v>
      </c>
      <c r="E290" s="4" t="n">
        <f aca="false">IF(C290="Mall",1,0)</f>
        <v>0</v>
      </c>
      <c r="F290" s="4" t="n">
        <f aca="false">IF(C290="Residential",1,0)</f>
        <v>0</v>
      </c>
      <c r="G290" s="9" t="n">
        <f aca="false">Cleaned_Prepared_Data!M290</f>
        <v>763162.45</v>
      </c>
    </row>
    <row r="291" customFormat="false" ht="15" hidden="false" customHeight="true" outlineLevel="0" collapsed="false">
      <c r="A291" s="9" t="str">
        <f aca="false">Cleaned_Prepared_Data!A291</f>
        <v>STR-1075</v>
      </c>
      <c r="B291" s="10" t="n">
        <f aca="false">Cleaned_Prepared_Data!B291</f>
        <v>45717</v>
      </c>
      <c r="C291" s="9" t="str">
        <f aca="false">Cleaned_Prepared_Data!D291</f>
        <v>High Street</v>
      </c>
      <c r="D291" s="4" t="n">
        <f aca="false">IF(C291="Airport",1,0)</f>
        <v>0</v>
      </c>
      <c r="E291" s="4" t="n">
        <f aca="false">IF(C291="Mall",1,0)</f>
        <v>0</v>
      </c>
      <c r="F291" s="4" t="n">
        <f aca="false">IF(C291="Residential",1,0)</f>
        <v>0</v>
      </c>
      <c r="G291" s="9" t="n">
        <f aca="false">Cleaned_Prepared_Data!M291</f>
        <v>599017.33</v>
      </c>
    </row>
    <row r="292" customFormat="false" ht="15" hidden="false" customHeight="true" outlineLevel="0" collapsed="false">
      <c r="A292" s="9" t="str">
        <f aca="false">Cleaned_Prepared_Data!A292</f>
        <v>STR-1075</v>
      </c>
      <c r="B292" s="10" t="n">
        <f aca="false">Cleaned_Prepared_Data!B292</f>
        <v>45748</v>
      </c>
      <c r="C292" s="9" t="str">
        <f aca="false">Cleaned_Prepared_Data!D292</f>
        <v>High Street</v>
      </c>
      <c r="D292" s="4" t="n">
        <f aca="false">IF(C292="Airport",1,0)</f>
        <v>0</v>
      </c>
      <c r="E292" s="4" t="n">
        <f aca="false">IF(C292="Mall",1,0)</f>
        <v>0</v>
      </c>
      <c r="F292" s="4" t="n">
        <f aca="false">IF(C292="Residential",1,0)</f>
        <v>0</v>
      </c>
      <c r="G292" s="9" t="n">
        <f aca="false">Cleaned_Prepared_Data!M292</f>
        <v>401582.58</v>
      </c>
    </row>
    <row r="293" customFormat="false" ht="15" hidden="false" customHeight="true" outlineLevel="0" collapsed="false">
      <c r="A293" s="9" t="str">
        <f aca="false">Cleaned_Prepared_Data!A293</f>
        <v>STR-1076</v>
      </c>
      <c r="B293" s="10" t="n">
        <f aca="false">Cleaned_Prepared_Data!B293</f>
        <v>45658</v>
      </c>
      <c r="C293" s="9" t="str">
        <f aca="false">Cleaned_Prepared_Data!D293</f>
        <v>Mall</v>
      </c>
      <c r="D293" s="4" t="n">
        <f aca="false">IF(C293="Airport",1,0)</f>
        <v>0</v>
      </c>
      <c r="E293" s="4" t="n">
        <f aca="false">IF(C293="Mall",1,0)</f>
        <v>1</v>
      </c>
      <c r="F293" s="4" t="n">
        <f aca="false">IF(C293="Residential",1,0)</f>
        <v>0</v>
      </c>
      <c r="G293" s="9" t="n">
        <f aca="false">Cleaned_Prepared_Data!M293</f>
        <v>703812.99</v>
      </c>
    </row>
    <row r="294" customFormat="false" ht="15" hidden="false" customHeight="true" outlineLevel="0" collapsed="false">
      <c r="A294" s="9" t="str">
        <f aca="false">Cleaned_Prepared_Data!A294</f>
        <v>STR-1076</v>
      </c>
      <c r="B294" s="10" t="n">
        <f aca="false">Cleaned_Prepared_Data!B294</f>
        <v>45689</v>
      </c>
      <c r="C294" s="9" t="str">
        <f aca="false">Cleaned_Prepared_Data!D294</f>
        <v>Mall</v>
      </c>
      <c r="D294" s="4" t="n">
        <f aca="false">IF(C294="Airport",1,0)</f>
        <v>0</v>
      </c>
      <c r="E294" s="4" t="n">
        <f aca="false">IF(C294="Mall",1,0)</f>
        <v>1</v>
      </c>
      <c r="F294" s="4" t="n">
        <f aca="false">IF(C294="Residential",1,0)</f>
        <v>0</v>
      </c>
      <c r="G294" s="9" t="n">
        <f aca="false">Cleaned_Prepared_Data!M294</f>
        <v>724346.73</v>
      </c>
    </row>
    <row r="295" customFormat="false" ht="15" hidden="false" customHeight="true" outlineLevel="0" collapsed="false">
      <c r="A295" s="9" t="str">
        <f aca="false">Cleaned_Prepared_Data!A295</f>
        <v>STR-1076</v>
      </c>
      <c r="B295" s="10" t="n">
        <f aca="false">Cleaned_Prepared_Data!B295</f>
        <v>45717</v>
      </c>
      <c r="C295" s="9" t="str">
        <f aca="false">Cleaned_Prepared_Data!D295</f>
        <v>Mall</v>
      </c>
      <c r="D295" s="4" t="n">
        <f aca="false">IF(C295="Airport",1,0)</f>
        <v>0</v>
      </c>
      <c r="E295" s="4" t="n">
        <f aca="false">IF(C295="Mall",1,0)</f>
        <v>1</v>
      </c>
      <c r="F295" s="4" t="n">
        <f aca="false">IF(C295="Residential",1,0)</f>
        <v>0</v>
      </c>
      <c r="G295" s="9" t="n">
        <f aca="false">Cleaned_Prepared_Data!M295</f>
        <v>730890.01</v>
      </c>
    </row>
    <row r="296" customFormat="false" ht="15" hidden="false" customHeight="true" outlineLevel="0" collapsed="false">
      <c r="A296" s="9" t="str">
        <f aca="false">Cleaned_Prepared_Data!A296</f>
        <v>STR-1076</v>
      </c>
      <c r="B296" s="10" t="n">
        <f aca="false">Cleaned_Prepared_Data!B296</f>
        <v>45748</v>
      </c>
      <c r="C296" s="9" t="str">
        <f aca="false">Cleaned_Prepared_Data!D296</f>
        <v>Mall</v>
      </c>
      <c r="D296" s="4" t="n">
        <f aca="false">IF(C296="Airport",1,0)</f>
        <v>0</v>
      </c>
      <c r="E296" s="4" t="n">
        <f aca="false">IF(C296="Mall",1,0)</f>
        <v>1</v>
      </c>
      <c r="F296" s="4" t="n">
        <f aca="false">IF(C296="Residential",1,0)</f>
        <v>0</v>
      </c>
      <c r="G296" s="9" t="n">
        <f aca="false">Cleaned_Prepared_Data!M296</f>
        <v>780580.95</v>
      </c>
    </row>
    <row r="297" customFormat="false" ht="15" hidden="false" customHeight="true" outlineLevel="0" collapsed="false">
      <c r="A297" s="9" t="str">
        <f aca="false">Cleaned_Prepared_Data!A297</f>
        <v>STR-1077</v>
      </c>
      <c r="B297" s="10" t="n">
        <f aca="false">Cleaned_Prepared_Data!B297</f>
        <v>45658</v>
      </c>
      <c r="C297" s="9" t="str">
        <f aca="false">Cleaned_Prepared_Data!D297</f>
        <v>Residential</v>
      </c>
      <c r="D297" s="4" t="n">
        <f aca="false">IF(C297="Airport",1,0)</f>
        <v>0</v>
      </c>
      <c r="E297" s="4" t="n">
        <f aca="false">IF(C297="Mall",1,0)</f>
        <v>0</v>
      </c>
      <c r="F297" s="4" t="n">
        <f aca="false">IF(C297="Residential",1,0)</f>
        <v>1</v>
      </c>
      <c r="G297" s="9" t="n">
        <f aca="false">Cleaned_Prepared_Data!M297</f>
        <v>727957.48</v>
      </c>
    </row>
    <row r="298" customFormat="false" ht="15" hidden="false" customHeight="true" outlineLevel="0" collapsed="false">
      <c r="A298" s="9" t="str">
        <f aca="false">Cleaned_Prepared_Data!A298</f>
        <v>STR-1077</v>
      </c>
      <c r="B298" s="10" t="n">
        <f aca="false">Cleaned_Prepared_Data!B298</f>
        <v>45689</v>
      </c>
      <c r="C298" s="9" t="str">
        <f aca="false">Cleaned_Prepared_Data!D298</f>
        <v>Residential</v>
      </c>
      <c r="D298" s="4" t="n">
        <f aca="false">IF(C298="Airport",1,0)</f>
        <v>0</v>
      </c>
      <c r="E298" s="4" t="n">
        <f aca="false">IF(C298="Mall",1,0)</f>
        <v>0</v>
      </c>
      <c r="F298" s="4" t="n">
        <f aca="false">IF(C298="Residential",1,0)</f>
        <v>1</v>
      </c>
      <c r="G298" s="9" t="n">
        <f aca="false">Cleaned_Prepared_Data!M298</f>
        <v>538376</v>
      </c>
    </row>
    <row r="299" customFormat="false" ht="15" hidden="false" customHeight="true" outlineLevel="0" collapsed="false">
      <c r="A299" s="9" t="str">
        <f aca="false">Cleaned_Prepared_Data!A299</f>
        <v>STR-1077</v>
      </c>
      <c r="B299" s="10" t="n">
        <f aca="false">Cleaned_Prepared_Data!B299</f>
        <v>45717</v>
      </c>
      <c r="C299" s="9" t="str">
        <f aca="false">Cleaned_Prepared_Data!D299</f>
        <v>Residential</v>
      </c>
      <c r="D299" s="4" t="n">
        <f aca="false">IF(C299="Airport",1,0)</f>
        <v>0</v>
      </c>
      <c r="E299" s="4" t="n">
        <f aca="false">IF(C299="Mall",1,0)</f>
        <v>0</v>
      </c>
      <c r="F299" s="4" t="n">
        <f aca="false">IF(C299="Residential",1,0)</f>
        <v>1</v>
      </c>
      <c r="G299" s="9" t="n">
        <f aca="false">Cleaned_Prepared_Data!M299</f>
        <v>665342.49</v>
      </c>
    </row>
    <row r="300" customFormat="false" ht="15" hidden="false" customHeight="true" outlineLevel="0" collapsed="false">
      <c r="A300" s="9" t="str">
        <f aca="false">Cleaned_Prepared_Data!A300</f>
        <v>STR-1077</v>
      </c>
      <c r="B300" s="10" t="n">
        <f aca="false">Cleaned_Prepared_Data!B300</f>
        <v>45748</v>
      </c>
      <c r="C300" s="9" t="str">
        <f aca="false">Cleaned_Prepared_Data!D300</f>
        <v>Residential</v>
      </c>
      <c r="D300" s="4" t="n">
        <f aca="false">IF(C300="Airport",1,0)</f>
        <v>0</v>
      </c>
      <c r="E300" s="4" t="n">
        <f aca="false">IF(C300="Mall",1,0)</f>
        <v>0</v>
      </c>
      <c r="F300" s="4" t="n">
        <f aca="false">IF(C300="Residential",1,0)</f>
        <v>1</v>
      </c>
      <c r="G300" s="9" t="n">
        <f aca="false">Cleaned_Prepared_Data!M300</f>
        <v>651164.18</v>
      </c>
    </row>
    <row r="301" customFormat="false" ht="15" hidden="false" customHeight="true" outlineLevel="0" collapsed="false">
      <c r="A301" s="9" t="str">
        <f aca="false">Cleaned_Prepared_Data!A301</f>
        <v>STR-1078</v>
      </c>
      <c r="B301" s="10" t="n">
        <f aca="false">Cleaned_Prepared_Data!B301</f>
        <v>45658</v>
      </c>
      <c r="C301" s="9" t="str">
        <f aca="false">Cleaned_Prepared_Data!D301</f>
        <v>High Street</v>
      </c>
      <c r="D301" s="4" t="n">
        <f aca="false">IF(C301="Airport",1,0)</f>
        <v>0</v>
      </c>
      <c r="E301" s="4" t="n">
        <f aca="false">IF(C301="Mall",1,0)</f>
        <v>0</v>
      </c>
      <c r="F301" s="4" t="n">
        <f aca="false">IF(C301="Residential",1,0)</f>
        <v>0</v>
      </c>
      <c r="G301" s="9" t="n">
        <f aca="false">Cleaned_Prepared_Data!M301</f>
        <v>628538.3</v>
      </c>
    </row>
    <row r="302" customFormat="false" ht="15" hidden="false" customHeight="true" outlineLevel="0" collapsed="false">
      <c r="A302" s="9" t="str">
        <f aca="false">Cleaned_Prepared_Data!A302</f>
        <v>STR-1078</v>
      </c>
      <c r="B302" s="10" t="n">
        <f aca="false">Cleaned_Prepared_Data!B302</f>
        <v>45689</v>
      </c>
      <c r="C302" s="9" t="str">
        <f aca="false">Cleaned_Prepared_Data!D302</f>
        <v>High Street</v>
      </c>
      <c r="D302" s="4" t="n">
        <f aca="false">IF(C302="Airport",1,0)</f>
        <v>0</v>
      </c>
      <c r="E302" s="4" t="n">
        <f aca="false">IF(C302="Mall",1,0)</f>
        <v>0</v>
      </c>
      <c r="F302" s="4" t="n">
        <f aca="false">IF(C302="Residential",1,0)</f>
        <v>0</v>
      </c>
      <c r="G302" s="9" t="n">
        <f aca="false">Cleaned_Prepared_Data!M302</f>
        <v>536524.84</v>
      </c>
    </row>
    <row r="303" customFormat="false" ht="15" hidden="false" customHeight="true" outlineLevel="0" collapsed="false">
      <c r="A303" s="9" t="str">
        <f aca="false">Cleaned_Prepared_Data!A303</f>
        <v>STR-1078</v>
      </c>
      <c r="B303" s="10" t="n">
        <f aca="false">Cleaned_Prepared_Data!B303</f>
        <v>45717</v>
      </c>
      <c r="C303" s="9" t="str">
        <f aca="false">Cleaned_Prepared_Data!D303</f>
        <v>High Street</v>
      </c>
      <c r="D303" s="4" t="n">
        <f aca="false">IF(C303="Airport",1,0)</f>
        <v>0</v>
      </c>
      <c r="E303" s="4" t="n">
        <f aca="false">IF(C303="Mall",1,0)</f>
        <v>0</v>
      </c>
      <c r="F303" s="4" t="n">
        <f aca="false">IF(C303="Residential",1,0)</f>
        <v>0</v>
      </c>
      <c r="G303" s="9" t="n">
        <f aca="false">Cleaned_Prepared_Data!M303</f>
        <v>621677.3</v>
      </c>
    </row>
    <row r="304" customFormat="false" ht="15" hidden="false" customHeight="true" outlineLevel="0" collapsed="false">
      <c r="A304" s="9" t="str">
        <f aca="false">Cleaned_Prepared_Data!A304</f>
        <v>STR-1079</v>
      </c>
      <c r="B304" s="10" t="n">
        <f aca="false">Cleaned_Prepared_Data!B304</f>
        <v>45658</v>
      </c>
      <c r="C304" s="9" t="str">
        <f aca="false">Cleaned_Prepared_Data!D304</f>
        <v>Residential</v>
      </c>
      <c r="D304" s="4" t="n">
        <f aca="false">IF(C304="Airport",1,0)</f>
        <v>0</v>
      </c>
      <c r="E304" s="4" t="n">
        <f aca="false">IF(C304="Mall",1,0)</f>
        <v>0</v>
      </c>
      <c r="F304" s="4" t="n">
        <f aca="false">IF(C304="Residential",1,0)</f>
        <v>1</v>
      </c>
      <c r="G304" s="9" t="n">
        <f aca="false">Cleaned_Prepared_Data!M304</f>
        <v>702052.47</v>
      </c>
    </row>
    <row r="305" customFormat="false" ht="15" hidden="false" customHeight="true" outlineLevel="0" collapsed="false">
      <c r="A305" s="9" t="str">
        <f aca="false">Cleaned_Prepared_Data!A305</f>
        <v>STR-1079</v>
      </c>
      <c r="B305" s="10" t="n">
        <f aca="false">Cleaned_Prepared_Data!B305</f>
        <v>45717</v>
      </c>
      <c r="C305" s="9" t="str">
        <f aca="false">Cleaned_Prepared_Data!D305</f>
        <v>Residential</v>
      </c>
      <c r="D305" s="4" t="n">
        <f aca="false">IF(C305="Airport",1,0)</f>
        <v>0</v>
      </c>
      <c r="E305" s="4" t="n">
        <f aca="false">IF(C305="Mall",1,0)</f>
        <v>0</v>
      </c>
      <c r="F305" s="4" t="n">
        <f aca="false">IF(C305="Residential",1,0)</f>
        <v>1</v>
      </c>
      <c r="G305" s="9" t="n">
        <f aca="false">Cleaned_Prepared_Data!M305</f>
        <v>712375.77</v>
      </c>
    </row>
    <row r="306" customFormat="false" ht="15" hidden="false" customHeight="true" outlineLevel="0" collapsed="false">
      <c r="A306" s="9" t="str">
        <f aca="false">Cleaned_Prepared_Data!A306</f>
        <v>STR-1079</v>
      </c>
      <c r="B306" s="10" t="n">
        <f aca="false">Cleaned_Prepared_Data!B306</f>
        <v>45748</v>
      </c>
      <c r="C306" s="9" t="str">
        <f aca="false">Cleaned_Prepared_Data!D306</f>
        <v>Residential</v>
      </c>
      <c r="D306" s="4" t="n">
        <f aca="false">IF(C306="Airport",1,0)</f>
        <v>0</v>
      </c>
      <c r="E306" s="4" t="n">
        <f aca="false">IF(C306="Mall",1,0)</f>
        <v>0</v>
      </c>
      <c r="F306" s="4" t="n">
        <f aca="false">IF(C306="Residential",1,0)</f>
        <v>1</v>
      </c>
      <c r="G306" s="9" t="n">
        <f aca="false">Cleaned_Prepared_Data!M306</f>
        <v>844710.67</v>
      </c>
    </row>
    <row r="307" customFormat="false" ht="15" hidden="false" customHeight="true" outlineLevel="0" collapsed="false">
      <c r="A307" s="9" t="str">
        <f aca="false">Cleaned_Prepared_Data!A307</f>
        <v>STR-1080</v>
      </c>
      <c r="B307" s="10" t="n">
        <f aca="false">Cleaned_Prepared_Data!B307</f>
        <v>45658</v>
      </c>
      <c r="C307" s="9" t="str">
        <f aca="false">Cleaned_Prepared_Data!D307</f>
        <v>Residential</v>
      </c>
      <c r="D307" s="4" t="n">
        <f aca="false">IF(C307="Airport",1,0)</f>
        <v>0</v>
      </c>
      <c r="E307" s="4" t="n">
        <f aca="false">IF(C307="Mall",1,0)</f>
        <v>0</v>
      </c>
      <c r="F307" s="4" t="n">
        <f aca="false">IF(C307="Residential",1,0)</f>
        <v>1</v>
      </c>
      <c r="G307" s="9" t="n">
        <f aca="false">Cleaned_Prepared_Data!M307</f>
        <v>620264.2</v>
      </c>
    </row>
    <row r="308" customFormat="false" ht="15" hidden="false" customHeight="true" outlineLevel="0" collapsed="false">
      <c r="A308" s="9" t="str">
        <f aca="false">Cleaned_Prepared_Data!A308</f>
        <v>STR-1080</v>
      </c>
      <c r="B308" s="10" t="n">
        <f aca="false">Cleaned_Prepared_Data!B308</f>
        <v>45689</v>
      </c>
      <c r="C308" s="9" t="str">
        <f aca="false">Cleaned_Prepared_Data!D308</f>
        <v>Residential</v>
      </c>
      <c r="D308" s="4" t="n">
        <f aca="false">IF(C308="Airport",1,0)</f>
        <v>0</v>
      </c>
      <c r="E308" s="4" t="n">
        <f aca="false">IF(C308="Mall",1,0)</f>
        <v>0</v>
      </c>
      <c r="F308" s="4" t="n">
        <f aca="false">IF(C308="Residential",1,0)</f>
        <v>1</v>
      </c>
      <c r="G308" s="9" t="n">
        <f aca="false">Cleaned_Prepared_Data!M308</f>
        <v>536845.42</v>
      </c>
    </row>
    <row r="309" customFormat="false" ht="15" hidden="false" customHeight="true" outlineLevel="0" collapsed="false">
      <c r="A309" s="9" t="str">
        <f aca="false">Cleaned_Prepared_Data!A309</f>
        <v>STR-1080</v>
      </c>
      <c r="B309" s="10" t="n">
        <f aca="false">Cleaned_Prepared_Data!B309</f>
        <v>45717</v>
      </c>
      <c r="C309" s="9" t="str">
        <f aca="false">Cleaned_Prepared_Data!D309</f>
        <v>Residential</v>
      </c>
      <c r="D309" s="4" t="n">
        <f aca="false">IF(C309="Airport",1,0)</f>
        <v>0</v>
      </c>
      <c r="E309" s="4" t="n">
        <f aca="false">IF(C309="Mall",1,0)</f>
        <v>0</v>
      </c>
      <c r="F309" s="4" t="n">
        <f aca="false">IF(C309="Residential",1,0)</f>
        <v>1</v>
      </c>
      <c r="G309" s="9" t="n">
        <f aca="false">Cleaned_Prepared_Data!M309</f>
        <v>726776.22</v>
      </c>
    </row>
    <row r="310" customFormat="false" ht="15" hidden="false" customHeight="true" outlineLevel="0" collapsed="false">
      <c r="A310" s="9" t="str">
        <f aca="false">Cleaned_Prepared_Data!A310</f>
        <v>STR-1080</v>
      </c>
      <c r="B310" s="10" t="n">
        <f aca="false">Cleaned_Prepared_Data!B310</f>
        <v>45748</v>
      </c>
      <c r="C310" s="9" t="str">
        <f aca="false">Cleaned_Prepared_Data!D310</f>
        <v>Residential</v>
      </c>
      <c r="D310" s="4" t="n">
        <f aca="false">IF(C310="Airport",1,0)</f>
        <v>0</v>
      </c>
      <c r="E310" s="4" t="n">
        <f aca="false">IF(C310="Mall",1,0)</f>
        <v>0</v>
      </c>
      <c r="F310" s="4" t="n">
        <f aca="false">IF(C310="Residential",1,0)</f>
        <v>1</v>
      </c>
      <c r="G310" s="9" t="n">
        <f aca="false">Cleaned_Prepared_Data!M310</f>
        <v>559660.84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4" min="3" style="1" width="14"/>
  </cols>
  <sheetData>
    <row r="1" customFormat="false" ht="15.75" hidden="false" customHeight="true" outlineLevel="0" collapsed="false">
      <c r="A1" s="11" t="s">
        <v>119</v>
      </c>
      <c r="B1" s="11"/>
      <c r="C1" s="11"/>
      <c r="D1" s="11"/>
      <c r="E1" s="11"/>
      <c r="F1" s="11"/>
      <c r="G1" s="11"/>
      <c r="H1" s="11"/>
    </row>
    <row r="3" customFormat="false" ht="15" hidden="false" customHeight="true" outlineLevel="0" collapsed="false">
      <c r="A3" s="7" t="s">
        <v>120</v>
      </c>
      <c r="B3" s="12" t="s">
        <v>121</v>
      </c>
    </row>
    <row r="4" customFormat="false" ht="15" hidden="false" customHeight="true" outlineLevel="0" collapsed="false">
      <c r="A4" s="4" t="s">
        <v>122</v>
      </c>
      <c r="B4" s="13" t="n">
        <f aca="false">SLOPE(Cleaned_Prepared_Data!M5:M310,Cleaned_Prepared_Data!E5:E310)</f>
        <v>2.0519315848669</v>
      </c>
    </row>
    <row r="5" customFormat="false" ht="15" hidden="false" customHeight="true" outlineLevel="0" collapsed="false">
      <c r="A5" s="4" t="s">
        <v>123</v>
      </c>
      <c r="B5" s="13" t="n">
        <f aca="false">INTERCEPT(Cleaned_Prepared_Data!M5:M310,Cleaned_Prepared_Data!E5:E310)</f>
        <v>567463.560336524</v>
      </c>
    </row>
    <row r="6" customFormat="false" ht="15" hidden="false" customHeight="true" outlineLevel="0" collapsed="false">
      <c r="A6" s="4" t="s">
        <v>124</v>
      </c>
      <c r="B6" s="13" t="n">
        <f aca="false">RSQ(Cleaned_Prepared_Data!M5:M310,Cleaned_Prepared_Data!E5:E310)</f>
        <v>0.157426461245437</v>
      </c>
    </row>
    <row r="7" customFormat="false" ht="15" hidden="false" customHeight="true" outlineLevel="0" collapsed="false">
      <c r="A7" s="4" t="s">
        <v>125</v>
      </c>
      <c r="B7" s="13" t="n">
        <f aca="false">CORREL(Cleaned_Prepared_Data!M5:M310,Cleaned_Prepared_Data!E5:E310)</f>
        <v>0.396770035720236</v>
      </c>
    </row>
    <row r="8" customFormat="false" ht="15" hidden="false" customHeight="true" outlineLevel="0" collapsed="false">
      <c r="A8" s="4" t="s">
        <v>126</v>
      </c>
      <c r="B8" s="13" t="n">
        <f aca="false">STEYX(Cleaned_Prepared_Data!M5:M310,Cleaned_Prepared_Data!E5:E310)/SQRT(DEVSQ(Cleaned_Prepared_Data!E5:E310))</f>
        <v>0.272264567574276</v>
      </c>
    </row>
    <row r="9" customFormat="false" ht="15" hidden="false" customHeight="true" outlineLevel="0" collapsed="false">
      <c r="A9" s="4" t="s">
        <v>127</v>
      </c>
      <c r="B9" s="13" t="n">
        <f aca="false">B4/B8</f>
        <v>7.53653552185821</v>
      </c>
    </row>
    <row r="10" customFormat="false" ht="15" hidden="false" customHeight="true" outlineLevel="0" collapsed="false">
      <c r="A10" s="4" t="s">
        <v>128</v>
      </c>
      <c r="B10" s="13" t="n">
        <f aca="false">_xlfn.T.DIST.2T(ABS(B9),B11-2)</f>
        <v>5.5808922954177E-013</v>
      </c>
    </row>
    <row r="11" customFormat="false" ht="15" hidden="false" customHeight="true" outlineLevel="0" collapsed="false">
      <c r="A11" s="4" t="s">
        <v>129</v>
      </c>
      <c r="B11" s="13" t="n">
        <f aca="false">COUNT(Cleaned_Prepared_Data!E5:E310)</f>
        <v>306</v>
      </c>
    </row>
    <row r="12" customFormat="false" ht="15" hidden="false" customHeight="true" outlineLevel="0" collapsed="false">
      <c r="A12" s="12" t="str">
        <f aca="false">CONCATENATE("Equation: monthly_sales = ",TEXT(B5,"#,##0")," + ",TEXT(B4,"0.00")," * marketing_spend")</f>
        <v>Equation: monthly_sales = 567,464 + 2.05 * marketing_spend</v>
      </c>
    </row>
    <row r="14" customFormat="false" ht="15" hidden="false" customHeight="true" outlineLevel="0" collapsed="false">
      <c r="A14" s="7" t="s">
        <v>130</v>
      </c>
      <c r="B14" s="12" t="s">
        <v>131</v>
      </c>
    </row>
    <row r="15" customFormat="false" ht="15" hidden="false" customHeight="true" outlineLevel="0" collapsed="false">
      <c r="A15" s="4" t="s">
        <v>122</v>
      </c>
      <c r="B15" s="13" t="n">
        <f aca="false">SLOPE(Cleaned_Prepared_Data!M5:M310,Cleaned_Prepared_Data!F5:F310)</f>
        <v>35.6415309199011</v>
      </c>
    </row>
    <row r="16" customFormat="false" ht="15" hidden="false" customHeight="true" outlineLevel="0" collapsed="false">
      <c r="A16" s="4" t="s">
        <v>123</v>
      </c>
      <c r="B16" s="13" t="n">
        <f aca="false">INTERCEPT(Cleaned_Prepared_Data!M5:M310,Cleaned_Prepared_Data!F5:F310)</f>
        <v>447699.032737279</v>
      </c>
    </row>
    <row r="17" customFormat="false" ht="15" hidden="false" customHeight="true" outlineLevel="0" collapsed="false">
      <c r="A17" s="4" t="s">
        <v>124</v>
      </c>
      <c r="B17" s="13" t="n">
        <f aca="false">RSQ(Cleaned_Prepared_Data!M5:M310,Cleaned_Prepared_Data!F5:F310)</f>
        <v>0.73484316730369</v>
      </c>
    </row>
    <row r="18" customFormat="false" ht="15" hidden="false" customHeight="true" outlineLevel="0" collapsed="false">
      <c r="A18" s="4" t="s">
        <v>125</v>
      </c>
      <c r="B18" s="13" t="n">
        <f aca="false">CORREL(Cleaned_Prepared_Data!M5:M310,Cleaned_Prepared_Data!F5:F310)</f>
        <v>0.857229938408412</v>
      </c>
    </row>
    <row r="19" customFormat="false" ht="15" hidden="false" customHeight="true" outlineLevel="0" collapsed="false">
      <c r="A19" s="4" t="s">
        <v>126</v>
      </c>
      <c r="B19" s="13" t="n">
        <f aca="false">STEYX(Cleaned_Prepared_Data!M5:M310,Cleaned_Prepared_Data!F5:F310)/SQRT(DEVSQ(Cleaned_Prepared_Data!F5:F310))</f>
        <v>1.22793008366738</v>
      </c>
    </row>
    <row r="20" customFormat="false" ht="15" hidden="false" customHeight="true" outlineLevel="0" collapsed="false">
      <c r="A20" s="4" t="s">
        <v>127</v>
      </c>
      <c r="B20" s="13" t="n">
        <f aca="false">B15/B19</f>
        <v>29.0257005622443</v>
      </c>
    </row>
    <row r="21" customFormat="false" ht="15" hidden="false" customHeight="true" outlineLevel="0" collapsed="false">
      <c r="A21" s="4" t="s">
        <v>128</v>
      </c>
      <c r="B21" s="13" t="n">
        <f aca="false">_xlfn.T.DIST.2T(ABS(B20),B22-2)</f>
        <v>1.25593514573701E-089</v>
      </c>
    </row>
    <row r="22" customFormat="false" ht="15" hidden="false" customHeight="true" outlineLevel="0" collapsed="false">
      <c r="A22" s="4" t="s">
        <v>129</v>
      </c>
      <c r="B22" s="13" t="n">
        <f aca="false">COUNT(Cleaned_Prepared_Data!F5:F310)</f>
        <v>306</v>
      </c>
    </row>
    <row r="23" customFormat="false" ht="15" hidden="false" customHeight="true" outlineLevel="0" collapsed="false">
      <c r="A23" s="12" t="str">
        <f aca="false">CONCATENATE("Equation: monthly_sales = ",TEXT(B16,"#,##0")," + ",TEXT(B15,"0.00")," * footfall")</f>
        <v>Equation: monthly_sales = 447,699 + 35.64 * footfall</v>
      </c>
    </row>
    <row r="25" customFormat="false" ht="15" hidden="false" customHeight="true" outlineLevel="0" collapsed="false">
      <c r="A25" s="7" t="s">
        <v>132</v>
      </c>
      <c r="B25" s="12" t="s">
        <v>133</v>
      </c>
    </row>
    <row r="26" customFormat="false" ht="15" hidden="false" customHeight="true" outlineLevel="0" collapsed="false">
      <c r="A26" s="4" t="s">
        <v>122</v>
      </c>
      <c r="B26" s="13" t="n">
        <f aca="false">SLOPE(Cleaned_Prepared_Data!M5:M310,Cleaned_Prepared_Data!G5:G310)</f>
        <v>-114707.660703062</v>
      </c>
    </row>
    <row r="27" customFormat="false" ht="15" hidden="false" customHeight="true" outlineLevel="0" collapsed="false">
      <c r="A27" s="4" t="s">
        <v>123</v>
      </c>
      <c r="B27" s="13" t="n">
        <f aca="false">INTERCEPT(Cleaned_Prepared_Data!M5:M310,Cleaned_Prepared_Data!G5:G310)</f>
        <v>697538.040492307</v>
      </c>
    </row>
    <row r="28" customFormat="false" ht="15" hidden="false" customHeight="true" outlineLevel="0" collapsed="false">
      <c r="A28" s="4" t="s">
        <v>124</v>
      </c>
      <c r="B28" s="13" t="n">
        <f aca="false">RSQ(Cleaned_Prepared_Data!M5:M310,Cleaned_Prepared_Data!G5:G310)</f>
        <v>0.00574303545688321</v>
      </c>
    </row>
    <row r="29" customFormat="false" ht="15" hidden="false" customHeight="true" outlineLevel="0" collapsed="false">
      <c r="A29" s="4" t="s">
        <v>125</v>
      </c>
      <c r="B29" s="13" t="n">
        <f aca="false">CORREL(Cleaned_Prepared_Data!M5:M310,Cleaned_Prepared_Data!G5:G310)</f>
        <v>-0.0757828176889934</v>
      </c>
    </row>
    <row r="30" customFormat="false" ht="15" hidden="false" customHeight="true" outlineLevel="0" collapsed="false">
      <c r="A30" s="4" t="s">
        <v>126</v>
      </c>
      <c r="B30" s="13" t="n">
        <f aca="false">STEYX(Cleaned_Prepared_Data!M5:M310,Cleaned_Prepared_Data!G5:G310)/SQRT(DEVSQ(Cleaned_Prepared_Data!G5:G310))</f>
        <v>86563.3795146994</v>
      </c>
    </row>
    <row r="31" customFormat="false" ht="15" hidden="false" customHeight="true" outlineLevel="0" collapsed="false">
      <c r="A31" s="4" t="s">
        <v>127</v>
      </c>
      <c r="B31" s="13" t="n">
        <f aca="false">B26/B30</f>
        <v>-1.32512918680102</v>
      </c>
    </row>
    <row r="32" customFormat="false" ht="15" hidden="false" customHeight="true" outlineLevel="0" collapsed="false">
      <c r="A32" s="4" t="s">
        <v>128</v>
      </c>
      <c r="B32" s="13" t="n">
        <f aca="false">_xlfn.T.DIST.2T(ABS(B31),B33-2)</f>
        <v>0.186123403455263</v>
      </c>
    </row>
    <row r="33" customFormat="false" ht="15" hidden="false" customHeight="true" outlineLevel="0" collapsed="false">
      <c r="A33" s="4" t="s">
        <v>129</v>
      </c>
      <c r="B33" s="13" t="n">
        <f aca="false">COUNT(Cleaned_Prepared_Data!G5:G310)</f>
        <v>306</v>
      </c>
    </row>
    <row r="34" customFormat="false" ht="15" hidden="false" customHeight="true" outlineLevel="0" collapsed="false">
      <c r="A34" s="12" t="str">
        <f aca="false">CONCATENATE("Equation: monthly_sales = ",TEXT(B27,"#,##0")," + ",TEXT(B26,"#,##0")," * avg_discount_pct")</f>
        <v>Equation: monthly_sales = 697,538 + -114,708 * avg_discount_pct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9" min="6" style="1" width="12"/>
    <col collapsed="false" customWidth="true" hidden="false" outlineLevel="0" max="19" min="10" style="1" width="11"/>
  </cols>
  <sheetData>
    <row r="1" customFormat="false" ht="18" hidden="false" customHeight="true" outlineLevel="0" collapsed="false">
      <c r="A1" s="11" t="s">
        <v>134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15" hidden="false" customHeight="true" outlineLevel="0" collapsed="false">
      <c r="A2" s="14" t="s">
        <v>135</v>
      </c>
      <c r="B2" s="14"/>
      <c r="C2" s="14"/>
      <c r="D2" s="14"/>
      <c r="E2" s="14"/>
      <c r="F2" s="14"/>
      <c r="G2" s="14"/>
      <c r="H2" s="14"/>
      <c r="I2" s="14"/>
      <c r="J2" s="14"/>
    </row>
    <row r="3" customFormat="false" ht="49.5" hidden="false" customHeight="true" outlineLevel="0" collapsed="false">
      <c r="K3" s="15" t="s">
        <v>114</v>
      </c>
      <c r="L3" s="15" t="s">
        <v>113</v>
      </c>
      <c r="M3" s="15" t="s">
        <v>112</v>
      </c>
      <c r="N3" s="15" t="s">
        <v>7</v>
      </c>
      <c r="O3" s="15" t="s">
        <v>8</v>
      </c>
      <c r="P3" s="15" t="s">
        <v>9</v>
      </c>
      <c r="Q3" s="15" t="s">
        <v>5</v>
      </c>
      <c r="R3" s="15" t="s">
        <v>6</v>
      </c>
      <c r="S3" s="15" t="s">
        <v>123</v>
      </c>
    </row>
    <row r="4" customFormat="false" ht="15" hidden="false" customHeight="true" outlineLevel="0" collapsed="false">
      <c r="A4" s="7" t="s">
        <v>136</v>
      </c>
    </row>
    <row r="5" customFormat="false" ht="15" hidden="false" customHeight="true" outlineLevel="0" collapsed="false">
      <c r="A5" s="3" t="s">
        <v>137</v>
      </c>
      <c r="B5" s="3" t="s">
        <v>138</v>
      </c>
      <c r="C5" s="3" t="s">
        <v>139</v>
      </c>
      <c r="D5" s="3" t="s">
        <v>140</v>
      </c>
      <c r="E5" s="3" t="s">
        <v>141</v>
      </c>
      <c r="J5" s="4" t="s">
        <v>138</v>
      </c>
      <c r="K5" s="1" t="n">
        <f aca="false" t="array" ref="K5:S9">LINEST(A41:A346,B41:I346,TRUE(),TRUE())</f>
        <v>-15192.9935878717</v>
      </c>
      <c r="L5" s="1" t="n">
        <v>11226.0519691927</v>
      </c>
      <c r="M5" s="1" t="n">
        <v>21356.2616311438</v>
      </c>
      <c r="N5" s="1" t="n">
        <v>-57647.9851350431</v>
      </c>
      <c r="O5" s="1" t="n">
        <v>2692.77522510828</v>
      </c>
      <c r="P5" s="1" t="n">
        <v>2856.87163294988</v>
      </c>
      <c r="Q5" s="1" t="n">
        <v>1.14957266896365</v>
      </c>
      <c r="R5" s="1" t="n">
        <v>28.7855980517642</v>
      </c>
      <c r="S5" s="1" t="n">
        <v>138300.270608986</v>
      </c>
    </row>
    <row r="6" customFormat="false" ht="15" hidden="false" customHeight="true" outlineLevel="0" collapsed="false">
      <c r="A6" s="4" t="s">
        <v>123</v>
      </c>
      <c r="B6" s="16" t="n">
        <f aca="false">S5</f>
        <v>138300.270608986</v>
      </c>
      <c r="C6" s="17" t="n">
        <f aca="false">S6</f>
        <v>45504.2297776763</v>
      </c>
      <c r="D6" s="18" t="n">
        <f aca="false">B6/C6</f>
        <v>3.03928384865958</v>
      </c>
      <c r="E6" s="17" t="n">
        <f aca="false">_xlfn.T.DIST.2T(ABS(D6),297)</f>
        <v>0.00258243851622378</v>
      </c>
      <c r="J6" s="4" t="s">
        <v>139</v>
      </c>
      <c r="K6" s="1" t="n">
        <v>6270.11999218036</v>
      </c>
      <c r="L6" s="1" t="n">
        <v>6748.12491364199</v>
      </c>
      <c r="M6" s="1" t="n">
        <v>9488.14225872095</v>
      </c>
      <c r="N6" s="1" t="n">
        <v>37749.9941136111</v>
      </c>
      <c r="O6" s="1" t="n">
        <v>1305.6222775744</v>
      </c>
      <c r="P6" s="1" t="n">
        <v>485.138643097318</v>
      </c>
      <c r="Q6" s="1" t="n">
        <v>0.131431976830193</v>
      </c>
      <c r="R6" s="1" t="n">
        <v>2.56536935467296</v>
      </c>
      <c r="S6" s="1" t="n">
        <v>45504.2297776763</v>
      </c>
    </row>
    <row r="7" customFormat="false" ht="15" hidden="false" customHeight="true" outlineLevel="0" collapsed="false">
      <c r="A7" s="4" t="s">
        <v>6</v>
      </c>
      <c r="B7" s="16" t="n">
        <f aca="false">R5</f>
        <v>28.7855980517642</v>
      </c>
      <c r="C7" s="17" t="n">
        <f aca="false">R6</f>
        <v>2.56536935467296</v>
      </c>
      <c r="D7" s="18" t="n">
        <f aca="false">B7/C7</f>
        <v>11.2208396032055</v>
      </c>
      <c r="E7" s="17" t="n">
        <f aca="false">_xlfn.T.DIST.2T(ABS(D7),297)</f>
        <v>1.35476507907884E-024</v>
      </c>
      <c r="J7" s="4" t="s">
        <v>142</v>
      </c>
      <c r="K7" s="1" t="n">
        <v>0.818526796932918</v>
      </c>
      <c r="L7" s="1" t="n">
        <v>44433.9214302395</v>
      </c>
      <c r="M7" s="1" t="e">
        <v>#N/A</v>
      </c>
      <c r="N7" s="1" t="e">
        <v>#N/A</v>
      </c>
      <c r="O7" s="1" t="e">
        <v>#N/A</v>
      </c>
      <c r="P7" s="1" t="e">
        <v>#N/A</v>
      </c>
      <c r="Q7" s="1" t="e">
        <v>#N/A</v>
      </c>
      <c r="R7" s="1" t="e">
        <v>#N/A</v>
      </c>
      <c r="S7" s="1" t="e">
        <v>#N/A</v>
      </c>
    </row>
    <row r="8" customFormat="false" ht="15" hidden="false" customHeight="true" outlineLevel="0" collapsed="false">
      <c r="A8" s="4" t="s">
        <v>5</v>
      </c>
      <c r="B8" s="16" t="n">
        <f aca="false">Q5</f>
        <v>1.14957266896365</v>
      </c>
      <c r="C8" s="17" t="n">
        <f aca="false">Q6</f>
        <v>0.131431976830193</v>
      </c>
      <c r="D8" s="18" t="n">
        <f aca="false">B8/C8</f>
        <v>8.74652194000608</v>
      </c>
      <c r="E8" s="17" t="n">
        <f aca="false">_xlfn.T.DIST.2T(ABS(D8),297)</f>
        <v>1.67083177494632E-016</v>
      </c>
      <c r="J8" s="4" t="s">
        <v>143</v>
      </c>
      <c r="K8" s="1" t="n">
        <v>167.450658403277</v>
      </c>
      <c r="L8" s="1" t="n">
        <v>297</v>
      </c>
      <c r="M8" s="1" t="e">
        <v>#N/A</v>
      </c>
      <c r="N8" s="1" t="e">
        <v>#N/A</v>
      </c>
      <c r="O8" s="1" t="e">
        <v>#N/A</v>
      </c>
      <c r="P8" s="1" t="e">
        <v>#N/A</v>
      </c>
      <c r="Q8" s="1" t="e">
        <v>#N/A</v>
      </c>
      <c r="R8" s="1" t="e">
        <v>#N/A</v>
      </c>
      <c r="S8" s="1" t="e">
        <v>#N/A</v>
      </c>
    </row>
    <row r="9" customFormat="false" ht="15" hidden="false" customHeight="true" outlineLevel="0" collapsed="false">
      <c r="A9" s="4" t="s">
        <v>9</v>
      </c>
      <c r="B9" s="16" t="n">
        <f aca="false">P5</f>
        <v>2856.87163294988</v>
      </c>
      <c r="C9" s="17" t="n">
        <f aca="false">P6</f>
        <v>485.138643097318</v>
      </c>
      <c r="D9" s="18" t="n">
        <f aca="false">B9/C9</f>
        <v>5.88877359822437</v>
      </c>
      <c r="E9" s="17" t="n">
        <f aca="false">_xlfn.T.DIST.2T(ABS(D9),297)</f>
        <v>1.0515865179859E-008</v>
      </c>
      <c r="J9" s="4" t="s">
        <v>144</v>
      </c>
      <c r="K9" s="1" t="n">
        <v>2644880970837.79</v>
      </c>
      <c r="L9" s="1" t="n">
        <v>586388891979.604</v>
      </c>
      <c r="M9" s="1" t="e">
        <v>#N/A</v>
      </c>
      <c r="N9" s="1" t="e">
        <v>#N/A</v>
      </c>
      <c r="O9" s="1" t="e">
        <v>#N/A</v>
      </c>
      <c r="P9" s="1" t="e">
        <v>#N/A</v>
      </c>
      <c r="Q9" s="1" t="e">
        <v>#N/A</v>
      </c>
      <c r="R9" s="1" t="e">
        <v>#N/A</v>
      </c>
      <c r="S9" s="1" t="e">
        <v>#N/A</v>
      </c>
    </row>
    <row r="10" customFormat="false" ht="15" hidden="false" customHeight="true" outlineLevel="0" collapsed="false">
      <c r="A10" s="4" t="s">
        <v>8</v>
      </c>
      <c r="B10" s="16" t="n">
        <f aca="false">O5</f>
        <v>2692.77522510828</v>
      </c>
      <c r="C10" s="17" t="n">
        <f aca="false">O6</f>
        <v>1305.6222775744</v>
      </c>
      <c r="D10" s="18" t="n">
        <f aca="false">B10/C10</f>
        <v>2.06244583242785</v>
      </c>
      <c r="E10" s="17" t="n">
        <f aca="false">_xlfn.T.DIST.2T(ABS(D10),297)</f>
        <v>0.0400346919499676</v>
      </c>
    </row>
    <row r="11" customFormat="false" ht="15" hidden="false" customHeight="true" outlineLevel="0" collapsed="false">
      <c r="A11" s="4" t="s">
        <v>7</v>
      </c>
      <c r="B11" s="16" t="n">
        <f aca="false">N5</f>
        <v>-57647.9851350431</v>
      </c>
      <c r="C11" s="17" t="n">
        <f aca="false">N6</f>
        <v>37749.9941136111</v>
      </c>
      <c r="D11" s="18" t="n">
        <f aca="false">B11/C11</f>
        <v>-1.5270991820965</v>
      </c>
      <c r="E11" s="17" t="n">
        <f aca="false">_xlfn.T.DIST.2T(ABS(D11),297)</f>
        <v>0.127800581869093</v>
      </c>
    </row>
    <row r="12" customFormat="false" ht="15" hidden="false" customHeight="true" outlineLevel="0" collapsed="false">
      <c r="A12" s="4" t="s">
        <v>112</v>
      </c>
      <c r="B12" s="16" t="n">
        <f aca="false">M5</f>
        <v>21356.2616311438</v>
      </c>
      <c r="C12" s="17" t="n">
        <f aca="false">M6</f>
        <v>9488.14225872095</v>
      </c>
      <c r="D12" s="18" t="n">
        <f aca="false">B12/C12</f>
        <v>2.25083699725458</v>
      </c>
      <c r="E12" s="17" t="n">
        <f aca="false">_xlfn.T.DIST.2T(ABS(D12),297)</f>
        <v>0.0251271236467553</v>
      </c>
    </row>
    <row r="13" customFormat="false" ht="15" hidden="false" customHeight="true" outlineLevel="0" collapsed="false">
      <c r="A13" s="4" t="s">
        <v>113</v>
      </c>
      <c r="B13" s="16" t="n">
        <f aca="false">L5</f>
        <v>11226.0519691927</v>
      </c>
      <c r="C13" s="17" t="n">
        <f aca="false">L6</f>
        <v>6748.12491364199</v>
      </c>
      <c r="D13" s="18" t="n">
        <f aca="false">B13/C13</f>
        <v>1.66358093735018</v>
      </c>
      <c r="E13" s="17" t="n">
        <f aca="false">_xlfn.T.DIST.2T(ABS(D13),297)</f>
        <v>0.0972509611325787</v>
      </c>
    </row>
    <row r="14" customFormat="false" ht="15" hidden="false" customHeight="true" outlineLevel="0" collapsed="false">
      <c r="A14" s="4" t="s">
        <v>114</v>
      </c>
      <c r="B14" s="16" t="n">
        <f aca="false">K5</f>
        <v>-15192.9935878717</v>
      </c>
      <c r="C14" s="17" t="n">
        <f aca="false">K6</f>
        <v>6270.11999218036</v>
      </c>
      <c r="D14" s="18" t="n">
        <f aca="false">B14/C14</f>
        <v>-2.42307860245408</v>
      </c>
      <c r="E14" s="17" t="n">
        <f aca="false">_xlfn.T.DIST.2T(ABS(D14),297)</f>
        <v>0.0159873422004208</v>
      </c>
    </row>
    <row r="16" customFormat="false" ht="15" hidden="false" customHeight="true" outlineLevel="0" collapsed="false">
      <c r="A16" s="7" t="s">
        <v>145</v>
      </c>
      <c r="B16" s="16" t="n">
        <f aca="false">K7</f>
        <v>0.818526796932918</v>
      </c>
    </row>
    <row r="17" customFormat="false" ht="15" hidden="false" customHeight="true" outlineLevel="0" collapsed="false">
      <c r="A17" s="7" t="s">
        <v>146</v>
      </c>
      <c r="B17" s="19" t="n">
        <f aca="false">K8</f>
        <v>167.450658403277</v>
      </c>
    </row>
    <row r="18" customFormat="false" ht="15" hidden="false" customHeight="true" outlineLevel="0" collapsed="false">
      <c r="A18" s="7" t="s">
        <v>147</v>
      </c>
      <c r="B18" s="7" t="n">
        <f aca="false">L8</f>
        <v>297</v>
      </c>
    </row>
    <row r="19" customFormat="false" ht="15" hidden="false" customHeight="true" outlineLevel="0" collapsed="false">
      <c r="A19" s="7" t="s">
        <v>148</v>
      </c>
      <c r="B19" s="4" t="n">
        <v>306</v>
      </c>
    </row>
    <row r="21" customFormat="false" ht="15" hidden="false" customHeight="true" outlineLevel="0" collapsed="false">
      <c r="A21" s="14" t="s">
        <v>149</v>
      </c>
      <c r="B21" s="14"/>
      <c r="C21" s="14"/>
      <c r="D21" s="14"/>
      <c r="E21" s="14"/>
      <c r="F21" s="14"/>
      <c r="G21" s="14"/>
      <c r="H21" s="14"/>
      <c r="I21" s="14"/>
      <c r="J21" s="14"/>
    </row>
    <row r="26" customFormat="false" ht="15" hidden="false" customHeight="false" outlineLevel="0" collapsed="false">
      <c r="A26" s="20" t="s">
        <v>150</v>
      </c>
    </row>
    <row r="40" customFormat="false" ht="15" hidden="false" customHeight="true" outlineLevel="0" collapsed="false">
      <c r="A40" s="3" t="s">
        <v>13</v>
      </c>
      <c r="B40" s="3" t="s">
        <v>6</v>
      </c>
      <c r="C40" s="3" t="s">
        <v>5</v>
      </c>
      <c r="D40" s="3" t="s">
        <v>9</v>
      </c>
      <c r="E40" s="3" t="s">
        <v>8</v>
      </c>
      <c r="F40" s="3" t="s">
        <v>7</v>
      </c>
      <c r="G40" s="3" t="s">
        <v>112</v>
      </c>
      <c r="H40" s="3" t="s">
        <v>113</v>
      </c>
      <c r="I40" s="3" t="s">
        <v>114</v>
      </c>
    </row>
    <row r="41" customFormat="false" ht="15" hidden="false" customHeight="true" outlineLevel="0" collapsed="false">
      <c r="A41" s="9" t="n">
        <f aca="false">Cleaned_Prepared_Data!M5</f>
        <v>658832.62</v>
      </c>
      <c r="B41" s="9" t="n">
        <f aca="false">Cleaned_Prepared_Data!F5</f>
        <v>8302</v>
      </c>
      <c r="C41" s="9" t="n">
        <f aca="false">Cleaned_Prepared_Data!E5</f>
        <v>70389.11</v>
      </c>
      <c r="D41" s="9" t="n">
        <f aca="false">Cleaned_Prepared_Data!I5</f>
        <v>75</v>
      </c>
      <c r="E41" s="9" t="n">
        <f aca="false">Cleaned_Prepared_Data!H5</f>
        <v>17</v>
      </c>
      <c r="F41" s="9" t="n">
        <f aca="false">Cleaned_Prepared_Data!G5</f>
        <v>0.042</v>
      </c>
      <c r="G41" s="9" t="n">
        <f aca="false">Dummy_Variables!D5</f>
        <v>0</v>
      </c>
      <c r="H41" s="9" t="n">
        <f aca="false">Dummy_Variables!E5</f>
        <v>0</v>
      </c>
      <c r="I41" s="9" t="n">
        <f aca="false">Dummy_Variables!F5</f>
        <v>1</v>
      </c>
    </row>
    <row r="42" customFormat="false" ht="15" hidden="false" customHeight="true" outlineLevel="0" collapsed="false">
      <c r="A42" s="9" t="n">
        <f aca="false">Cleaned_Prepared_Data!M6</f>
        <v>634436</v>
      </c>
      <c r="B42" s="9" t="n">
        <f aca="false">Cleaned_Prepared_Data!F6</f>
        <v>8487</v>
      </c>
      <c r="C42" s="9" t="n">
        <f aca="false">Cleaned_Prepared_Data!E6</f>
        <v>43827.89</v>
      </c>
      <c r="D42" s="9" t="n">
        <f aca="false">Cleaned_Prepared_Data!I6</f>
        <v>84.4</v>
      </c>
      <c r="E42" s="9" t="n">
        <f aca="false">Cleaned_Prepared_Data!H6</f>
        <v>23</v>
      </c>
      <c r="F42" s="9" t="n">
        <f aca="false">Cleaned_Prepared_Data!G6</f>
        <v>0.168</v>
      </c>
      <c r="G42" s="9" t="n">
        <f aca="false">Dummy_Variables!D6</f>
        <v>0</v>
      </c>
      <c r="H42" s="9" t="n">
        <f aca="false">Dummy_Variables!E6</f>
        <v>0</v>
      </c>
      <c r="I42" s="9" t="n">
        <f aca="false">Dummy_Variables!F6</f>
        <v>1</v>
      </c>
    </row>
    <row r="43" customFormat="false" ht="15" hidden="false" customHeight="true" outlineLevel="0" collapsed="false">
      <c r="A43" s="9" t="n">
        <f aca="false">Cleaned_Prepared_Data!M7</f>
        <v>678722.06</v>
      </c>
      <c r="B43" s="9" t="n">
        <f aca="false">Cleaned_Prepared_Data!F7</f>
        <v>9113</v>
      </c>
      <c r="C43" s="9" t="n">
        <f aca="false">Cleaned_Prepared_Data!E7</f>
        <v>59921.75</v>
      </c>
      <c r="D43" s="9" t="n">
        <f aca="false">Cleaned_Prepared_Data!I7</f>
        <v>88</v>
      </c>
      <c r="E43" s="9" t="n">
        <f aca="false">Cleaned_Prepared_Data!H7</f>
        <v>20</v>
      </c>
      <c r="F43" s="9" t="n">
        <f aca="false">Cleaned_Prepared_Data!G7</f>
        <v>0.133</v>
      </c>
      <c r="G43" s="9" t="n">
        <f aca="false">Dummy_Variables!D7</f>
        <v>0</v>
      </c>
      <c r="H43" s="9" t="n">
        <f aca="false">Dummy_Variables!E7</f>
        <v>0</v>
      </c>
      <c r="I43" s="9" t="n">
        <f aca="false">Dummy_Variables!F7</f>
        <v>1</v>
      </c>
    </row>
    <row r="44" customFormat="false" ht="15" hidden="false" customHeight="true" outlineLevel="0" collapsed="false">
      <c r="A44" s="9" t="n">
        <f aca="false">Cleaned_Prepared_Data!M8</f>
        <v>658920.3</v>
      </c>
      <c r="B44" s="9" t="n">
        <f aca="false">Cleaned_Prepared_Data!F8</f>
        <v>9431</v>
      </c>
      <c r="C44" s="9" t="n">
        <f aca="false">Cleaned_Prepared_Data!E8</f>
        <v>56856.63</v>
      </c>
      <c r="D44" s="9" t="n">
        <f aca="false">Cleaned_Prepared_Data!I8</f>
        <v>86.9</v>
      </c>
      <c r="E44" s="9" t="n">
        <f aca="false">Cleaned_Prepared_Data!H8</f>
        <v>23</v>
      </c>
      <c r="F44" s="9" t="n">
        <f aca="false">Cleaned_Prepared_Data!G8</f>
        <v>0.142</v>
      </c>
      <c r="G44" s="9" t="n">
        <f aca="false">Dummy_Variables!D8</f>
        <v>0</v>
      </c>
      <c r="H44" s="9" t="n">
        <f aca="false">Dummy_Variables!E8</f>
        <v>0</v>
      </c>
      <c r="I44" s="9" t="n">
        <f aca="false">Dummy_Variables!F8</f>
        <v>1</v>
      </c>
    </row>
    <row r="45" customFormat="false" ht="15" hidden="false" customHeight="true" outlineLevel="0" collapsed="false">
      <c r="A45" s="9" t="n">
        <f aca="false">Cleaned_Prepared_Data!M9</f>
        <v>741341.44</v>
      </c>
      <c r="B45" s="9" t="n">
        <f aca="false">Cleaned_Prepared_Data!F9</f>
        <v>9545</v>
      </c>
      <c r="C45" s="9" t="n">
        <f aca="false">Cleaned_Prepared_Data!E9</f>
        <v>48412.64</v>
      </c>
      <c r="D45" s="9" t="n">
        <f aca="false">Cleaned_Prepared_Data!I9</f>
        <v>97.6</v>
      </c>
      <c r="E45" s="9" t="n">
        <f aca="false">Cleaned_Prepared_Data!H9</f>
        <v>21</v>
      </c>
      <c r="F45" s="9" t="n">
        <f aca="false">Cleaned_Prepared_Data!G9</f>
        <v>0.231</v>
      </c>
      <c r="G45" s="9" t="n">
        <f aca="false">Dummy_Variables!D9</f>
        <v>0</v>
      </c>
      <c r="H45" s="9" t="n">
        <f aca="false">Dummy_Variables!E9</f>
        <v>0</v>
      </c>
      <c r="I45" s="9" t="n">
        <f aca="false">Dummy_Variables!F9</f>
        <v>0</v>
      </c>
    </row>
    <row r="46" customFormat="false" ht="15" hidden="false" customHeight="true" outlineLevel="0" collapsed="false">
      <c r="A46" s="9" t="n">
        <f aca="false">Cleaned_Prepared_Data!M10</f>
        <v>761835.34</v>
      </c>
      <c r="B46" s="9" t="n">
        <f aca="false">Cleaned_Prepared_Data!F10</f>
        <v>9792</v>
      </c>
      <c r="C46" s="9" t="n">
        <f aca="false">Cleaned_Prepared_Data!E10</f>
        <v>64811.21</v>
      </c>
      <c r="D46" s="9" t="n">
        <f aca="false">Cleaned_Prepared_Data!I10</f>
        <v>84.2</v>
      </c>
      <c r="E46" s="9" t="n">
        <f aca="false">Cleaned_Prepared_Data!H10</f>
        <v>20</v>
      </c>
      <c r="F46" s="9" t="n">
        <f aca="false">Cleaned_Prepared_Data!G10</f>
        <v>0.112</v>
      </c>
      <c r="G46" s="9" t="n">
        <f aca="false">Dummy_Variables!D10</f>
        <v>0</v>
      </c>
      <c r="H46" s="9" t="n">
        <f aca="false">Dummy_Variables!E10</f>
        <v>0</v>
      </c>
      <c r="I46" s="9" t="n">
        <f aca="false">Dummy_Variables!F10</f>
        <v>0</v>
      </c>
    </row>
    <row r="47" customFormat="false" ht="15" hidden="false" customHeight="true" outlineLevel="0" collapsed="false">
      <c r="A47" s="9" t="n">
        <f aca="false">Cleaned_Prepared_Data!M11</f>
        <v>806615.54</v>
      </c>
      <c r="B47" s="9" t="n">
        <f aca="false">Cleaned_Prepared_Data!F11</f>
        <v>10616</v>
      </c>
      <c r="C47" s="9" t="n">
        <f aca="false">Cleaned_Prepared_Data!E11</f>
        <v>46213.45</v>
      </c>
      <c r="D47" s="9" t="n">
        <f aca="false">Cleaned_Prepared_Data!I11</f>
        <v>85.2</v>
      </c>
      <c r="E47" s="9" t="n">
        <f aca="false">Cleaned_Prepared_Data!H11</f>
        <v>22</v>
      </c>
      <c r="F47" s="9" t="n">
        <f aca="false">Cleaned_Prepared_Data!G11</f>
        <v>0.122</v>
      </c>
      <c r="G47" s="9" t="n">
        <f aca="false">Dummy_Variables!D11</f>
        <v>0</v>
      </c>
      <c r="H47" s="9" t="n">
        <f aca="false">Dummy_Variables!E11</f>
        <v>0</v>
      </c>
      <c r="I47" s="9" t="n">
        <f aca="false">Dummy_Variables!F11</f>
        <v>0</v>
      </c>
    </row>
    <row r="48" customFormat="false" ht="15" hidden="false" customHeight="true" outlineLevel="0" collapsed="false">
      <c r="A48" s="9" t="n">
        <f aca="false">Cleaned_Prepared_Data!M12</f>
        <v>850164.26</v>
      </c>
      <c r="B48" s="9" t="n">
        <f aca="false">Cleaned_Prepared_Data!F12</f>
        <v>8567</v>
      </c>
      <c r="C48" s="9" t="n">
        <f aca="false">Cleaned_Prepared_Data!E12</f>
        <v>68148.52</v>
      </c>
      <c r="D48" s="9" t="n">
        <f aca="false">Cleaned_Prepared_Data!I12</f>
        <v>95.6</v>
      </c>
      <c r="E48" s="9" t="n">
        <f aca="false">Cleaned_Prepared_Data!H12</f>
        <v>23</v>
      </c>
      <c r="F48" s="9" t="n">
        <f aca="false">Cleaned_Prepared_Data!G12</f>
        <v>0.127</v>
      </c>
      <c r="G48" s="9" t="n">
        <f aca="false">Dummy_Variables!D12</f>
        <v>0</v>
      </c>
      <c r="H48" s="9" t="n">
        <f aca="false">Dummy_Variables!E12</f>
        <v>0</v>
      </c>
      <c r="I48" s="9" t="n">
        <f aca="false">Dummy_Variables!F12</f>
        <v>0</v>
      </c>
    </row>
    <row r="49" customFormat="false" ht="15" hidden="false" customHeight="true" outlineLevel="0" collapsed="false">
      <c r="A49" s="9" t="n">
        <f aca="false">Cleaned_Prepared_Data!M13</f>
        <v>930581.7</v>
      </c>
      <c r="B49" s="9" t="n">
        <f aca="false">Cleaned_Prepared_Data!F13</f>
        <v>10979</v>
      </c>
      <c r="C49" s="9" t="n">
        <f aca="false">Cleaned_Prepared_Data!E13</f>
        <v>71838.86</v>
      </c>
      <c r="D49" s="9" t="n">
        <f aca="false">Cleaned_Prepared_Data!I13</f>
        <v>88.6</v>
      </c>
      <c r="E49" s="9" t="n">
        <f aca="false">Cleaned_Prepared_Data!H13</f>
        <v>26</v>
      </c>
      <c r="F49" s="9" t="n">
        <f aca="false">Cleaned_Prepared_Data!G13</f>
        <v>0.215</v>
      </c>
      <c r="G49" s="9" t="n">
        <f aca="false">Dummy_Variables!D13</f>
        <v>1</v>
      </c>
      <c r="H49" s="9" t="n">
        <f aca="false">Dummy_Variables!E13</f>
        <v>0</v>
      </c>
      <c r="I49" s="9" t="n">
        <f aca="false">Dummy_Variables!F13</f>
        <v>0</v>
      </c>
    </row>
    <row r="50" customFormat="false" ht="15" hidden="false" customHeight="true" outlineLevel="0" collapsed="false">
      <c r="A50" s="9" t="n">
        <f aca="false">Cleaned_Prepared_Data!M14</f>
        <v>779010.94</v>
      </c>
      <c r="B50" s="9" t="n">
        <f aca="false">Cleaned_Prepared_Data!F14</f>
        <v>9459</v>
      </c>
      <c r="C50" s="9" t="n">
        <f aca="false">Cleaned_Prepared_Data!E14</f>
        <v>68133.44</v>
      </c>
      <c r="D50" s="9" t="n">
        <f aca="false">Cleaned_Prepared_Data!I14</f>
        <v>85</v>
      </c>
      <c r="E50" s="9" t="n">
        <f aca="false">Cleaned_Prepared_Data!H14</f>
        <v>21</v>
      </c>
      <c r="F50" s="9" t="n">
        <f aca="false">Cleaned_Prepared_Data!G14</f>
        <v>0.22</v>
      </c>
      <c r="G50" s="9" t="n">
        <f aca="false">Dummy_Variables!D14</f>
        <v>1</v>
      </c>
      <c r="H50" s="9" t="n">
        <f aca="false">Dummy_Variables!E14</f>
        <v>0</v>
      </c>
      <c r="I50" s="9" t="n">
        <f aca="false">Dummy_Variables!F14</f>
        <v>0</v>
      </c>
    </row>
    <row r="51" customFormat="false" ht="15" hidden="false" customHeight="true" outlineLevel="0" collapsed="false">
      <c r="A51" s="9" t="n">
        <f aca="false">Cleaned_Prepared_Data!M15</f>
        <v>723060.76</v>
      </c>
      <c r="B51" s="9" t="n">
        <f aca="false">Cleaned_Prepared_Data!F15</f>
        <v>9172</v>
      </c>
      <c r="C51" s="9" t="n">
        <f aca="false">Cleaned_Prepared_Data!E15</f>
        <v>34285.21</v>
      </c>
      <c r="D51" s="9" t="n">
        <f aca="false">Cleaned_Prepared_Data!I15</f>
        <v>88.3</v>
      </c>
      <c r="E51" s="9" t="n">
        <f aca="false">Cleaned_Prepared_Data!H15</f>
        <v>22</v>
      </c>
      <c r="F51" s="9" t="n">
        <f aca="false">Cleaned_Prepared_Data!G15</f>
        <v>0.213</v>
      </c>
      <c r="G51" s="9" t="n">
        <f aca="false">Dummy_Variables!D15</f>
        <v>1</v>
      </c>
      <c r="H51" s="9" t="n">
        <f aca="false">Dummy_Variables!E15</f>
        <v>0</v>
      </c>
      <c r="I51" s="9" t="n">
        <f aca="false">Dummy_Variables!F15</f>
        <v>0</v>
      </c>
    </row>
    <row r="52" customFormat="false" ht="15" hidden="false" customHeight="true" outlineLevel="0" collapsed="false">
      <c r="A52" s="9" t="n">
        <f aca="false">Cleaned_Prepared_Data!M16</f>
        <v>910791.94</v>
      </c>
      <c r="B52" s="9" t="n">
        <f aca="false">Cleaned_Prepared_Data!F16</f>
        <v>11230</v>
      </c>
      <c r="C52" s="9" t="n">
        <f aca="false">Cleaned_Prepared_Data!E16</f>
        <v>67979.88</v>
      </c>
      <c r="D52" s="9" t="n">
        <f aca="false">Cleaned_Prepared_Data!I16</f>
        <v>85.3</v>
      </c>
      <c r="E52" s="9" t="n">
        <f aca="false">Cleaned_Prepared_Data!H16</f>
        <v>28</v>
      </c>
      <c r="F52" s="9" t="n">
        <f aca="false">Cleaned_Prepared_Data!G16</f>
        <v>0.002</v>
      </c>
      <c r="G52" s="9" t="n">
        <f aca="false">Dummy_Variables!D16</f>
        <v>1</v>
      </c>
      <c r="H52" s="9" t="n">
        <f aca="false">Dummy_Variables!E16</f>
        <v>0</v>
      </c>
      <c r="I52" s="9" t="n">
        <f aca="false">Dummy_Variables!F16</f>
        <v>0</v>
      </c>
    </row>
    <row r="53" customFormat="false" ht="15" hidden="false" customHeight="true" outlineLevel="0" collapsed="false">
      <c r="A53" s="9" t="n">
        <f aca="false">Cleaned_Prepared_Data!M17</f>
        <v>922168.6</v>
      </c>
      <c r="B53" s="9" t="n">
        <f aca="false">Cleaned_Prepared_Data!F17</f>
        <v>12775</v>
      </c>
      <c r="C53" s="9" t="n">
        <f aca="false">Cleaned_Prepared_Data!E17</f>
        <v>71828.26</v>
      </c>
      <c r="D53" s="9" t="n">
        <f aca="false">Cleaned_Prepared_Data!I17</f>
        <v>81.7</v>
      </c>
      <c r="E53" s="9" t="n">
        <f aca="false">Cleaned_Prepared_Data!H17</f>
        <v>30</v>
      </c>
      <c r="F53" s="9" t="n">
        <f aca="false">Cleaned_Prepared_Data!G17</f>
        <v>0.116</v>
      </c>
      <c r="G53" s="9" t="n">
        <f aca="false">Dummy_Variables!D17</f>
        <v>0</v>
      </c>
      <c r="H53" s="9" t="n">
        <f aca="false">Dummy_Variables!E17</f>
        <v>0</v>
      </c>
      <c r="I53" s="9" t="n">
        <f aca="false">Dummy_Variables!F17</f>
        <v>1</v>
      </c>
    </row>
    <row r="54" customFormat="false" ht="15" hidden="false" customHeight="true" outlineLevel="0" collapsed="false">
      <c r="A54" s="9" t="n">
        <f aca="false">Cleaned_Prepared_Data!M18</f>
        <v>726606.28</v>
      </c>
      <c r="B54" s="9" t="n">
        <f aca="false">Cleaned_Prepared_Data!F18</f>
        <v>10054</v>
      </c>
      <c r="C54" s="9" t="n">
        <f aca="false">Cleaned_Prepared_Data!E18</f>
        <v>55716.82</v>
      </c>
      <c r="D54" s="9" t="n">
        <f aca="false">Cleaned_Prepared_Data!I18</f>
        <v>84.9</v>
      </c>
      <c r="E54" s="9" t="n">
        <f aca="false">Cleaned_Prepared_Data!H18</f>
        <v>24</v>
      </c>
      <c r="F54" s="9" t="n">
        <f aca="false">Cleaned_Prepared_Data!G18</f>
        <v>0.146</v>
      </c>
      <c r="G54" s="9" t="n">
        <f aca="false">Dummy_Variables!D18</f>
        <v>0</v>
      </c>
      <c r="H54" s="9" t="n">
        <f aca="false">Dummy_Variables!E18</f>
        <v>0</v>
      </c>
      <c r="I54" s="9" t="n">
        <f aca="false">Dummy_Variables!F18</f>
        <v>1</v>
      </c>
    </row>
    <row r="55" customFormat="false" ht="15" hidden="false" customHeight="true" outlineLevel="0" collapsed="false">
      <c r="A55" s="9" t="n">
        <f aca="false">Cleaned_Prepared_Data!M19</f>
        <v>746501.09</v>
      </c>
      <c r="B55" s="9" t="n">
        <f aca="false">Cleaned_Prepared_Data!F19</f>
        <v>8895</v>
      </c>
      <c r="C55" s="9" t="n">
        <f aca="false">Cleaned_Prepared_Data!E19</f>
        <v>59909.51</v>
      </c>
      <c r="D55" s="9" t="n">
        <f aca="false">Cleaned_Prepared_Data!I19</f>
        <v>88.8</v>
      </c>
      <c r="E55" s="9" t="n">
        <f aca="false">Cleaned_Prepared_Data!H19</f>
        <v>23</v>
      </c>
      <c r="F55" s="9" t="n">
        <f aca="false">Cleaned_Prepared_Data!G19</f>
        <v>0.228</v>
      </c>
      <c r="G55" s="9" t="n">
        <f aca="false">Dummy_Variables!D19</f>
        <v>0</v>
      </c>
      <c r="H55" s="9" t="n">
        <f aca="false">Dummy_Variables!E19</f>
        <v>0</v>
      </c>
      <c r="I55" s="9" t="n">
        <f aca="false">Dummy_Variables!F19</f>
        <v>1</v>
      </c>
    </row>
    <row r="56" customFormat="false" ht="15" hidden="false" customHeight="true" outlineLevel="0" collapsed="false">
      <c r="A56" s="9" t="n">
        <f aca="false">Cleaned_Prepared_Data!M20</f>
        <v>834017.02</v>
      </c>
      <c r="B56" s="9" t="n">
        <f aca="false">Cleaned_Prepared_Data!F20</f>
        <v>10940</v>
      </c>
      <c r="C56" s="9" t="n">
        <f aca="false">Cleaned_Prepared_Data!E20</f>
        <v>75305.71</v>
      </c>
      <c r="D56" s="9" t="n">
        <f aca="false">Cleaned_Prepared_Data!I20</f>
        <v>76.5</v>
      </c>
      <c r="E56" s="9" t="n">
        <f aca="false">Cleaned_Prepared_Data!H20</f>
        <v>26</v>
      </c>
      <c r="F56" s="9" t="n">
        <f aca="false">Cleaned_Prepared_Data!G20</f>
        <v>0.006</v>
      </c>
      <c r="G56" s="9" t="n">
        <f aca="false">Dummy_Variables!D20</f>
        <v>0</v>
      </c>
      <c r="H56" s="9" t="n">
        <f aca="false">Dummy_Variables!E20</f>
        <v>0</v>
      </c>
      <c r="I56" s="9" t="n">
        <f aca="false">Dummy_Variables!F20</f>
        <v>1</v>
      </c>
    </row>
    <row r="57" customFormat="false" ht="15" hidden="false" customHeight="true" outlineLevel="0" collapsed="false">
      <c r="A57" s="9" t="n">
        <f aca="false">Cleaned_Prepared_Data!M21</f>
        <v>666152.52</v>
      </c>
      <c r="B57" s="9" t="n">
        <f aca="false">Cleaned_Prepared_Data!F21</f>
        <v>7057</v>
      </c>
      <c r="C57" s="9" t="n">
        <f aca="false">Cleaned_Prepared_Data!E21</f>
        <v>48804.22</v>
      </c>
      <c r="D57" s="9" t="n">
        <f aca="false">Cleaned_Prepared_Data!I21</f>
        <v>87.7</v>
      </c>
      <c r="E57" s="9" t="n">
        <f aca="false">Cleaned_Prepared_Data!H21</f>
        <v>15</v>
      </c>
      <c r="F57" s="9" t="n">
        <f aca="false">Cleaned_Prepared_Data!G21</f>
        <v>0.005</v>
      </c>
      <c r="G57" s="9" t="n">
        <f aca="false">Dummy_Variables!D21</f>
        <v>0</v>
      </c>
      <c r="H57" s="9" t="n">
        <f aca="false">Dummy_Variables!E21</f>
        <v>0</v>
      </c>
      <c r="I57" s="9" t="n">
        <f aca="false">Dummy_Variables!F21</f>
        <v>1</v>
      </c>
    </row>
    <row r="58" customFormat="false" ht="15" hidden="false" customHeight="true" outlineLevel="0" collapsed="false">
      <c r="A58" s="9" t="n">
        <f aca="false">Cleaned_Prepared_Data!M22</f>
        <v>573155.19</v>
      </c>
      <c r="B58" s="9" t="n">
        <f aca="false">Cleaned_Prepared_Data!F22</f>
        <v>4263</v>
      </c>
      <c r="C58" s="9" t="n">
        <f aca="false">Cleaned_Prepared_Data!E22</f>
        <v>59117.9</v>
      </c>
      <c r="D58" s="9" t="n">
        <f aca="false">Cleaned_Prepared_Data!I22</f>
        <v>87.6</v>
      </c>
      <c r="E58" s="9" t="n">
        <f aca="false">Cleaned_Prepared_Data!H22</f>
        <v>9</v>
      </c>
      <c r="F58" s="9" t="n">
        <f aca="false">Cleaned_Prepared_Data!G22</f>
        <v>0.119</v>
      </c>
      <c r="G58" s="9" t="n">
        <f aca="false">Dummy_Variables!D22</f>
        <v>0</v>
      </c>
      <c r="H58" s="9" t="n">
        <f aca="false">Dummy_Variables!E22</f>
        <v>0</v>
      </c>
      <c r="I58" s="9" t="n">
        <f aca="false">Dummy_Variables!F22</f>
        <v>1</v>
      </c>
    </row>
    <row r="59" customFormat="false" ht="15" hidden="false" customHeight="true" outlineLevel="0" collapsed="false">
      <c r="A59" s="9" t="n">
        <f aca="false">Cleaned_Prepared_Data!M23</f>
        <v>666573.2</v>
      </c>
      <c r="B59" s="9" t="n">
        <f aca="false">Cleaned_Prepared_Data!F23</f>
        <v>5538</v>
      </c>
      <c r="C59" s="9" t="n">
        <f aca="false">Cleaned_Prepared_Data!E23</f>
        <v>78831.12</v>
      </c>
      <c r="D59" s="9" t="n">
        <f aca="false">Cleaned_Prepared_Data!I23</f>
        <v>94.1</v>
      </c>
      <c r="E59" s="9" t="n">
        <f aca="false">Cleaned_Prepared_Data!H23</f>
        <v>15</v>
      </c>
      <c r="F59" s="9" t="n">
        <f aca="false">Cleaned_Prepared_Data!G23</f>
        <v>0</v>
      </c>
      <c r="G59" s="9" t="n">
        <f aca="false">Dummy_Variables!D23</f>
        <v>0</v>
      </c>
      <c r="H59" s="9" t="n">
        <f aca="false">Dummy_Variables!E23</f>
        <v>0</v>
      </c>
      <c r="I59" s="9" t="n">
        <f aca="false">Dummy_Variables!F23</f>
        <v>1</v>
      </c>
    </row>
    <row r="60" customFormat="false" ht="15" hidden="false" customHeight="true" outlineLevel="0" collapsed="false">
      <c r="A60" s="9" t="n">
        <f aca="false">Cleaned_Prepared_Data!M24</f>
        <v>591619.95</v>
      </c>
      <c r="B60" s="9" t="n">
        <f aca="false">Cleaned_Prepared_Data!F24</f>
        <v>4865</v>
      </c>
      <c r="C60" s="9" t="n">
        <f aca="false">Cleaned_Prepared_Data!E24</f>
        <v>41441.93</v>
      </c>
      <c r="D60" s="9" t="n">
        <f aca="false">Cleaned_Prepared_Data!I24</f>
        <v>88.3</v>
      </c>
      <c r="E60" s="9" t="n">
        <f aca="false">Cleaned_Prepared_Data!H24</f>
        <v>16</v>
      </c>
      <c r="F60" s="9" t="n">
        <f aca="false">Cleaned_Prepared_Data!G24</f>
        <v>0.158</v>
      </c>
      <c r="G60" s="9" t="n">
        <f aca="false">Dummy_Variables!D24</f>
        <v>0</v>
      </c>
      <c r="H60" s="9" t="n">
        <f aca="false">Dummy_Variables!E24</f>
        <v>0</v>
      </c>
      <c r="I60" s="9" t="n">
        <f aca="false">Dummy_Variables!F24</f>
        <v>1</v>
      </c>
    </row>
    <row r="61" customFormat="false" ht="15" hidden="false" customHeight="true" outlineLevel="0" collapsed="false">
      <c r="A61" s="9" t="n">
        <f aca="false">Cleaned_Prepared_Data!M25</f>
        <v>415721.82</v>
      </c>
      <c r="B61" s="9" t="n">
        <f aca="false">Cleaned_Prepared_Data!F25</f>
        <v>2822</v>
      </c>
      <c r="C61" s="9" t="n">
        <f aca="false">Cleaned_Prepared_Data!E25</f>
        <v>30356.28</v>
      </c>
      <c r="D61" s="9" t="n">
        <f aca="false">Cleaned_Prepared_Data!I25</f>
        <v>84.8</v>
      </c>
      <c r="E61" s="9" t="n">
        <f aca="false">Cleaned_Prepared_Data!H25</f>
        <v>9</v>
      </c>
      <c r="F61" s="9" t="n">
        <f aca="false">Cleaned_Prepared_Data!G25</f>
        <v>0.231</v>
      </c>
      <c r="G61" s="9" t="n">
        <f aca="false">Dummy_Variables!D25</f>
        <v>0</v>
      </c>
      <c r="H61" s="9" t="n">
        <f aca="false">Dummy_Variables!E25</f>
        <v>0</v>
      </c>
      <c r="I61" s="9" t="n">
        <f aca="false">Dummy_Variables!F25</f>
        <v>1</v>
      </c>
    </row>
    <row r="62" customFormat="false" ht="15" hidden="false" customHeight="true" outlineLevel="0" collapsed="false">
      <c r="A62" s="9" t="n">
        <f aca="false">Cleaned_Prepared_Data!M26</f>
        <v>491905.13</v>
      </c>
      <c r="B62" s="9" t="n">
        <f aca="false">Cleaned_Prepared_Data!F26</f>
        <v>2121</v>
      </c>
      <c r="C62" s="9" t="n">
        <f aca="false">Cleaned_Prepared_Data!E26</f>
        <v>33518.88</v>
      </c>
      <c r="D62" s="9" t="n">
        <f aca="false">Cleaned_Prepared_Data!I26</f>
        <v>88.5</v>
      </c>
      <c r="E62" s="9" t="n">
        <f aca="false">Cleaned_Prepared_Data!H26</f>
        <v>8</v>
      </c>
      <c r="F62" s="9" t="n">
        <f aca="false">Cleaned_Prepared_Data!G26</f>
        <v>0.176</v>
      </c>
      <c r="G62" s="9" t="n">
        <f aca="false">Dummy_Variables!D26</f>
        <v>0</v>
      </c>
      <c r="H62" s="9" t="n">
        <f aca="false">Dummy_Variables!E26</f>
        <v>0</v>
      </c>
      <c r="I62" s="9" t="n">
        <f aca="false">Dummy_Variables!F26</f>
        <v>1</v>
      </c>
    </row>
    <row r="63" customFormat="false" ht="15" hidden="false" customHeight="true" outlineLevel="0" collapsed="false">
      <c r="A63" s="9" t="n">
        <f aca="false">Cleaned_Prepared_Data!M27</f>
        <v>555929.4</v>
      </c>
      <c r="B63" s="9" t="n">
        <f aca="false">Cleaned_Prepared_Data!F27</f>
        <v>3364</v>
      </c>
      <c r="C63" s="9" t="n">
        <f aca="false">Cleaned_Prepared_Data!E27</f>
        <v>42267.37</v>
      </c>
      <c r="D63" s="9" t="n">
        <f aca="false">Cleaned_Prepared_Data!I27</f>
        <v>82</v>
      </c>
      <c r="E63" s="9" t="n">
        <f aca="false">Cleaned_Prepared_Data!H27</f>
        <v>13</v>
      </c>
      <c r="F63" s="9" t="n">
        <f aca="false">Cleaned_Prepared_Data!G27</f>
        <v>0.16</v>
      </c>
      <c r="G63" s="9" t="n">
        <f aca="false">Dummy_Variables!D27</f>
        <v>0</v>
      </c>
      <c r="H63" s="9" t="n">
        <f aca="false">Dummy_Variables!E27</f>
        <v>0</v>
      </c>
      <c r="I63" s="9" t="n">
        <f aca="false">Dummy_Variables!F27</f>
        <v>1</v>
      </c>
    </row>
    <row r="64" customFormat="false" ht="15" hidden="false" customHeight="true" outlineLevel="0" collapsed="false">
      <c r="A64" s="9" t="n">
        <f aca="false">Cleaned_Prepared_Data!M28</f>
        <v>565810.99</v>
      </c>
      <c r="B64" s="9" t="n">
        <f aca="false">Cleaned_Prepared_Data!F28</f>
        <v>2613</v>
      </c>
      <c r="C64" s="9" t="n">
        <f aca="false">Cleaned_Prepared_Data!E28</f>
        <v>62060.43</v>
      </c>
      <c r="D64" s="9" t="n">
        <f aca="false">Cleaned_Prepared_Data!I28</f>
        <v>92.1</v>
      </c>
      <c r="E64" s="9" t="n">
        <f aca="false">Cleaned_Prepared_Data!H28</f>
        <v>12</v>
      </c>
      <c r="F64" s="9" t="n">
        <f aca="false">Cleaned_Prepared_Data!G28</f>
        <v>0.216</v>
      </c>
      <c r="G64" s="9" t="n">
        <f aca="false">Dummy_Variables!D28</f>
        <v>0</v>
      </c>
      <c r="H64" s="9" t="n">
        <f aca="false">Dummy_Variables!E28</f>
        <v>0</v>
      </c>
      <c r="I64" s="9" t="n">
        <f aca="false">Dummy_Variables!F28</f>
        <v>1</v>
      </c>
    </row>
    <row r="65" customFormat="false" ht="15" hidden="false" customHeight="true" outlineLevel="0" collapsed="false">
      <c r="A65" s="9" t="n">
        <f aca="false">Cleaned_Prepared_Data!M29</f>
        <v>811771.14</v>
      </c>
      <c r="B65" s="9" t="n">
        <f aca="false">Cleaned_Prepared_Data!F29</f>
        <v>10218</v>
      </c>
      <c r="C65" s="9" t="n">
        <f aca="false">Cleaned_Prepared_Data!E29</f>
        <v>57696.69</v>
      </c>
      <c r="D65" s="9" t="n">
        <f aca="false">Cleaned_Prepared_Data!I29</f>
        <v>94.8</v>
      </c>
      <c r="E65" s="9" t="n">
        <f aca="false">Cleaned_Prepared_Data!H29</f>
        <v>25</v>
      </c>
      <c r="F65" s="9" t="n">
        <f aca="false">Cleaned_Prepared_Data!G29</f>
        <v>0.121</v>
      </c>
      <c r="G65" s="9" t="n">
        <f aca="false">Dummy_Variables!D29</f>
        <v>0</v>
      </c>
      <c r="H65" s="9" t="n">
        <f aca="false">Dummy_Variables!E29</f>
        <v>1</v>
      </c>
      <c r="I65" s="9" t="n">
        <f aca="false">Dummy_Variables!F29</f>
        <v>0</v>
      </c>
    </row>
    <row r="66" customFormat="false" ht="15" hidden="false" customHeight="true" outlineLevel="0" collapsed="false">
      <c r="A66" s="9" t="n">
        <f aca="false">Cleaned_Prepared_Data!M30</f>
        <v>800451.94</v>
      </c>
      <c r="B66" s="9" t="n">
        <f aca="false">Cleaned_Prepared_Data!F30</f>
        <v>8927</v>
      </c>
      <c r="C66" s="9" t="n">
        <f aca="false">Cleaned_Prepared_Data!E30</f>
        <v>172415.52</v>
      </c>
      <c r="D66" s="9" t="n">
        <f aca="false">Cleaned_Prepared_Data!I30</f>
        <v>86.2</v>
      </c>
      <c r="E66" s="9" t="n">
        <f aca="false">Cleaned_Prepared_Data!H30</f>
        <v>22</v>
      </c>
      <c r="F66" s="9" t="n">
        <f aca="false">Cleaned_Prepared_Data!G30</f>
        <v>0.14</v>
      </c>
      <c r="G66" s="9" t="n">
        <f aca="false">Dummy_Variables!D30</f>
        <v>0</v>
      </c>
      <c r="H66" s="9" t="n">
        <f aca="false">Dummy_Variables!E30</f>
        <v>1</v>
      </c>
      <c r="I66" s="9" t="n">
        <f aca="false">Dummy_Variables!F30</f>
        <v>0</v>
      </c>
    </row>
    <row r="67" customFormat="false" ht="15" hidden="false" customHeight="true" outlineLevel="0" collapsed="false">
      <c r="A67" s="9" t="n">
        <f aca="false">Cleaned_Prepared_Data!M31</f>
        <v>783672.82</v>
      </c>
      <c r="B67" s="9" t="n">
        <f aca="false">Cleaned_Prepared_Data!F31</f>
        <v>9315</v>
      </c>
      <c r="C67" s="9" t="n">
        <f aca="false">Cleaned_Prepared_Data!E31</f>
        <v>55270.52</v>
      </c>
      <c r="D67" s="9" t="n">
        <f aca="false">Cleaned_Prepared_Data!I31</f>
        <v>91.9</v>
      </c>
      <c r="E67" s="9" t="n">
        <f aca="false">Cleaned_Prepared_Data!H31</f>
        <v>23</v>
      </c>
      <c r="F67" s="9" t="n">
        <f aca="false">Cleaned_Prepared_Data!G31</f>
        <v>0.169</v>
      </c>
      <c r="G67" s="9" t="n">
        <f aca="false">Dummy_Variables!D31</f>
        <v>0</v>
      </c>
      <c r="H67" s="9" t="n">
        <f aca="false">Dummy_Variables!E31</f>
        <v>1</v>
      </c>
      <c r="I67" s="9" t="n">
        <f aca="false">Dummy_Variables!F31</f>
        <v>0</v>
      </c>
    </row>
    <row r="68" customFormat="false" ht="15" hidden="false" customHeight="true" outlineLevel="0" collapsed="false">
      <c r="A68" s="9" t="n">
        <f aca="false">Cleaned_Prepared_Data!M32</f>
        <v>701641.97</v>
      </c>
      <c r="B68" s="9" t="n">
        <f aca="false">Cleaned_Prepared_Data!F32</f>
        <v>7223</v>
      </c>
      <c r="C68" s="9" t="n">
        <f aca="false">Cleaned_Prepared_Data!E32</f>
        <v>52715.1</v>
      </c>
      <c r="D68" s="9" t="n">
        <f aca="false">Cleaned_Prepared_Data!I32</f>
        <v>84.2</v>
      </c>
      <c r="E68" s="9" t="n">
        <f aca="false">Cleaned_Prepared_Data!H32</f>
        <v>16</v>
      </c>
      <c r="F68" s="9" t="n">
        <f aca="false">Cleaned_Prepared_Data!G32</f>
        <v>0.122</v>
      </c>
      <c r="G68" s="9" t="n">
        <f aca="false">Dummy_Variables!D32</f>
        <v>0</v>
      </c>
      <c r="H68" s="9" t="n">
        <f aca="false">Dummy_Variables!E32</f>
        <v>1</v>
      </c>
      <c r="I68" s="9" t="n">
        <f aca="false">Dummy_Variables!F32</f>
        <v>0</v>
      </c>
    </row>
    <row r="69" customFormat="false" ht="15" hidden="false" customHeight="true" outlineLevel="0" collapsed="false">
      <c r="A69" s="9" t="n">
        <f aca="false">Cleaned_Prepared_Data!M33</f>
        <v>511844.41</v>
      </c>
      <c r="B69" s="9" t="n">
        <f aca="false">Cleaned_Prepared_Data!F33</f>
        <v>3988</v>
      </c>
      <c r="C69" s="9" t="n">
        <f aca="false">Cleaned_Prepared_Data!E33</f>
        <v>68600.62</v>
      </c>
      <c r="D69" s="9" t="n">
        <f aca="false">Cleaned_Prepared_Data!I33</f>
        <v>85</v>
      </c>
      <c r="E69" s="9" t="n">
        <f aca="false">Cleaned_Prepared_Data!H33</f>
        <v>11</v>
      </c>
      <c r="F69" s="9" t="n">
        <f aca="false">Cleaned_Prepared_Data!G33</f>
        <v>0.124</v>
      </c>
      <c r="G69" s="9" t="n">
        <f aca="false">Dummy_Variables!D33</f>
        <v>0</v>
      </c>
      <c r="H69" s="9" t="n">
        <f aca="false">Dummy_Variables!E33</f>
        <v>0</v>
      </c>
      <c r="I69" s="9" t="n">
        <f aca="false">Dummy_Variables!F33</f>
        <v>1</v>
      </c>
    </row>
    <row r="70" customFormat="false" ht="15" hidden="false" customHeight="true" outlineLevel="0" collapsed="false">
      <c r="A70" s="9" t="n">
        <f aca="false">Cleaned_Prepared_Data!M34</f>
        <v>537383.79</v>
      </c>
      <c r="B70" s="9" t="n">
        <f aca="false">Cleaned_Prepared_Data!F34</f>
        <v>2390</v>
      </c>
      <c r="C70" s="9" t="n">
        <f aca="false">Cleaned_Prepared_Data!E34</f>
        <v>63176.73</v>
      </c>
      <c r="D70" s="9" t="n">
        <f aca="false">Cleaned_Prepared_Data!I34</f>
        <v>87.5</v>
      </c>
      <c r="E70" s="9" t="n">
        <f aca="false">Cleaned_Prepared_Data!H34</f>
        <v>9</v>
      </c>
      <c r="F70" s="9" t="n">
        <f aca="false">Cleaned_Prepared_Data!G34</f>
        <v>0.216</v>
      </c>
      <c r="G70" s="9" t="n">
        <f aca="false">Dummy_Variables!D34</f>
        <v>0</v>
      </c>
      <c r="H70" s="9" t="n">
        <f aca="false">Dummy_Variables!E34</f>
        <v>0</v>
      </c>
      <c r="I70" s="9" t="n">
        <f aca="false">Dummy_Variables!F34</f>
        <v>1</v>
      </c>
    </row>
    <row r="71" customFormat="false" ht="15" hidden="false" customHeight="true" outlineLevel="0" collapsed="false">
      <c r="A71" s="9" t="n">
        <f aca="false">Cleaned_Prepared_Data!M35</f>
        <v>500173.02</v>
      </c>
      <c r="B71" s="9" t="n">
        <f aca="false">Cleaned_Prepared_Data!F35</f>
        <v>2471</v>
      </c>
      <c r="C71" s="9" t="n">
        <f aca="false">Cleaned_Prepared_Data!E35</f>
        <v>44970.08</v>
      </c>
      <c r="D71" s="9" t="n">
        <f aca="false">Cleaned_Prepared_Data!I35</f>
        <v>87.6</v>
      </c>
      <c r="E71" s="9" t="n">
        <f aca="false">Cleaned_Prepared_Data!H35</f>
        <v>11</v>
      </c>
      <c r="F71" s="9" t="n">
        <f aca="false">Cleaned_Prepared_Data!G35</f>
        <v>0.136</v>
      </c>
      <c r="G71" s="9" t="n">
        <f aca="false">Dummy_Variables!D35</f>
        <v>0</v>
      </c>
      <c r="H71" s="9" t="n">
        <f aca="false">Dummy_Variables!E35</f>
        <v>0</v>
      </c>
      <c r="I71" s="9" t="n">
        <f aca="false">Dummy_Variables!F35</f>
        <v>1</v>
      </c>
    </row>
    <row r="72" customFormat="false" ht="15" hidden="false" customHeight="true" outlineLevel="0" collapsed="false">
      <c r="A72" s="9" t="n">
        <f aca="false">Cleaned_Prepared_Data!M36</f>
        <v>427917.38</v>
      </c>
      <c r="B72" s="9" t="n">
        <f aca="false">Cleaned_Prepared_Data!F36</f>
        <v>971</v>
      </c>
      <c r="C72" s="9" t="n">
        <f aca="false">Cleaned_Prepared_Data!E36</f>
        <v>69816.35</v>
      </c>
      <c r="D72" s="9" t="n">
        <f aca="false">Cleaned_Prepared_Data!I36</f>
        <v>89.9</v>
      </c>
      <c r="E72" s="9" t="n">
        <f aca="false">Cleaned_Prepared_Data!H36</f>
        <v>5</v>
      </c>
      <c r="F72" s="9" t="n">
        <f aca="false">Cleaned_Prepared_Data!G36</f>
        <v>0.168</v>
      </c>
      <c r="G72" s="9" t="n">
        <f aca="false">Dummy_Variables!D36</f>
        <v>0</v>
      </c>
      <c r="H72" s="9" t="n">
        <f aca="false">Dummy_Variables!E36</f>
        <v>0</v>
      </c>
      <c r="I72" s="9" t="n">
        <f aca="false">Dummy_Variables!F36</f>
        <v>1</v>
      </c>
    </row>
    <row r="73" customFormat="false" ht="15" hidden="false" customHeight="true" outlineLevel="0" collapsed="false">
      <c r="A73" s="9" t="n">
        <f aca="false">Cleaned_Prepared_Data!M37</f>
        <v>641865.03</v>
      </c>
      <c r="B73" s="9" t="n">
        <f aca="false">Cleaned_Prepared_Data!F37</f>
        <v>9429</v>
      </c>
      <c r="C73" s="9" t="n">
        <f aca="false">Cleaned_Prepared_Data!E37</f>
        <v>54597.83</v>
      </c>
      <c r="D73" s="9" t="n">
        <f aca="false">Cleaned_Prepared_Data!I37</f>
        <v>83.3</v>
      </c>
      <c r="E73" s="9" t="n">
        <f aca="false">Cleaned_Prepared_Data!H37</f>
        <v>21</v>
      </c>
      <c r="F73" s="9" t="n">
        <f aca="false">Cleaned_Prepared_Data!G37</f>
        <v>0.188</v>
      </c>
      <c r="G73" s="9" t="n">
        <f aca="false">Dummy_Variables!D37</f>
        <v>0</v>
      </c>
      <c r="H73" s="9" t="n">
        <f aca="false">Dummy_Variables!E37</f>
        <v>0</v>
      </c>
      <c r="I73" s="9" t="n">
        <f aca="false">Dummy_Variables!F37</f>
        <v>1</v>
      </c>
    </row>
    <row r="74" customFormat="false" ht="15" hidden="false" customHeight="true" outlineLevel="0" collapsed="false">
      <c r="A74" s="9" t="n">
        <f aca="false">Cleaned_Prepared_Data!M38</f>
        <v>798952.17</v>
      </c>
      <c r="B74" s="9" t="n">
        <f aca="false">Cleaned_Prepared_Data!F38</f>
        <v>9449</v>
      </c>
      <c r="C74" s="9" t="n">
        <f aca="false">Cleaned_Prepared_Data!E38</f>
        <v>74413.88</v>
      </c>
      <c r="D74" s="9" t="n">
        <f aca="false">Cleaned_Prepared_Data!I38</f>
        <v>92.1</v>
      </c>
      <c r="E74" s="9" t="n">
        <f aca="false">Cleaned_Prepared_Data!H38</f>
        <v>23</v>
      </c>
      <c r="F74" s="9" t="n">
        <f aca="false">Cleaned_Prepared_Data!G38</f>
        <v>0.039</v>
      </c>
      <c r="G74" s="9" t="n">
        <f aca="false">Dummy_Variables!D38</f>
        <v>0</v>
      </c>
      <c r="H74" s="9" t="n">
        <f aca="false">Dummy_Variables!E38</f>
        <v>0</v>
      </c>
      <c r="I74" s="9" t="n">
        <f aca="false">Dummy_Variables!F38</f>
        <v>1</v>
      </c>
    </row>
    <row r="75" customFormat="false" ht="15" hidden="false" customHeight="true" outlineLevel="0" collapsed="false">
      <c r="A75" s="9" t="n">
        <f aca="false">Cleaned_Prepared_Data!M39</f>
        <v>800979.78</v>
      </c>
      <c r="B75" s="9" t="n">
        <f aca="false">Cleaned_Prepared_Data!F39</f>
        <v>10453</v>
      </c>
      <c r="C75" s="9" t="n">
        <f aca="false">Cleaned_Prepared_Data!E39</f>
        <v>52483.77</v>
      </c>
      <c r="D75" s="9" t="n">
        <f aca="false">Cleaned_Prepared_Data!I39</f>
        <v>99</v>
      </c>
      <c r="E75" s="9" t="n">
        <f aca="false">Cleaned_Prepared_Data!H39</f>
        <v>25</v>
      </c>
      <c r="F75" s="9" t="n">
        <f aca="false">Cleaned_Prepared_Data!G39</f>
        <v>0.247</v>
      </c>
      <c r="G75" s="9" t="n">
        <f aca="false">Dummy_Variables!D39</f>
        <v>0</v>
      </c>
      <c r="H75" s="9" t="n">
        <f aca="false">Dummy_Variables!E39</f>
        <v>0</v>
      </c>
      <c r="I75" s="9" t="n">
        <f aca="false">Dummy_Variables!F39</f>
        <v>1</v>
      </c>
    </row>
    <row r="76" customFormat="false" ht="15" hidden="false" customHeight="true" outlineLevel="0" collapsed="false">
      <c r="A76" s="9" t="n">
        <f aca="false">Cleaned_Prepared_Data!M40</f>
        <v>820593.93</v>
      </c>
      <c r="B76" s="9" t="n">
        <f aca="false">Cleaned_Prepared_Data!F40</f>
        <v>8838</v>
      </c>
      <c r="C76" s="9" t="n">
        <f aca="false">Cleaned_Prepared_Data!E40</f>
        <v>75269.87</v>
      </c>
      <c r="D76" s="9" t="n">
        <f aca="false">Cleaned_Prepared_Data!I40</f>
        <v>83.1</v>
      </c>
      <c r="E76" s="9" t="n">
        <f aca="false">Cleaned_Prepared_Data!H40</f>
        <v>21</v>
      </c>
      <c r="F76" s="9" t="n">
        <f aca="false">Cleaned_Prepared_Data!G40</f>
        <v>0.092</v>
      </c>
      <c r="G76" s="9" t="n">
        <f aca="false">Dummy_Variables!D40</f>
        <v>0</v>
      </c>
      <c r="H76" s="9" t="n">
        <f aca="false">Dummy_Variables!E40</f>
        <v>1</v>
      </c>
      <c r="I76" s="9" t="n">
        <f aca="false">Dummy_Variables!F40</f>
        <v>0</v>
      </c>
    </row>
    <row r="77" customFormat="false" ht="15" hidden="false" customHeight="true" outlineLevel="0" collapsed="false">
      <c r="A77" s="9" t="n">
        <f aca="false">Cleaned_Prepared_Data!M41</f>
        <v>718330.53</v>
      </c>
      <c r="B77" s="9" t="n">
        <f aca="false">Cleaned_Prepared_Data!F41</f>
        <v>8156</v>
      </c>
      <c r="C77" s="9" t="n">
        <f aca="false">Cleaned_Prepared_Data!E41</f>
        <v>61245.41</v>
      </c>
      <c r="D77" s="9" t="n">
        <f aca="false">Cleaned_Prepared_Data!I41</f>
        <v>92.9</v>
      </c>
      <c r="E77" s="9" t="n">
        <f aca="false">Cleaned_Prepared_Data!H41</f>
        <v>19</v>
      </c>
      <c r="F77" s="9" t="n">
        <f aca="false">Cleaned_Prepared_Data!G41</f>
        <v>0.156</v>
      </c>
      <c r="G77" s="9" t="n">
        <f aca="false">Dummy_Variables!D41</f>
        <v>0</v>
      </c>
      <c r="H77" s="9" t="n">
        <f aca="false">Dummy_Variables!E41</f>
        <v>1</v>
      </c>
      <c r="I77" s="9" t="n">
        <f aca="false">Dummy_Variables!F41</f>
        <v>0</v>
      </c>
    </row>
    <row r="78" customFormat="false" ht="15" hidden="false" customHeight="true" outlineLevel="0" collapsed="false">
      <c r="A78" s="9" t="n">
        <f aca="false">Cleaned_Prepared_Data!M42</f>
        <v>736633.4</v>
      </c>
      <c r="B78" s="9" t="n">
        <f aca="false">Cleaned_Prepared_Data!F42</f>
        <v>7562</v>
      </c>
      <c r="C78" s="9" t="n">
        <f aca="false">Cleaned_Prepared_Data!E42</f>
        <v>93381.26</v>
      </c>
      <c r="D78" s="9" t="n">
        <f aca="false">Cleaned_Prepared_Data!I42</f>
        <v>82.9</v>
      </c>
      <c r="E78" s="9" t="n">
        <f aca="false">Cleaned_Prepared_Data!H42</f>
        <v>19</v>
      </c>
      <c r="F78" s="9" t="n">
        <f aca="false">Cleaned_Prepared_Data!G42</f>
        <v>0.198</v>
      </c>
      <c r="G78" s="9" t="n">
        <f aca="false">Dummy_Variables!D42</f>
        <v>0</v>
      </c>
      <c r="H78" s="9" t="n">
        <f aca="false">Dummy_Variables!E42</f>
        <v>1</v>
      </c>
      <c r="I78" s="9" t="n">
        <f aca="false">Dummy_Variables!F42</f>
        <v>0</v>
      </c>
    </row>
    <row r="79" customFormat="false" ht="15" hidden="false" customHeight="true" outlineLevel="0" collapsed="false">
      <c r="A79" s="9" t="n">
        <f aca="false">Cleaned_Prepared_Data!M43</f>
        <v>828623.85</v>
      </c>
      <c r="B79" s="9" t="n">
        <f aca="false">Cleaned_Prepared_Data!F43</f>
        <v>9598</v>
      </c>
      <c r="C79" s="9" t="n">
        <f aca="false">Cleaned_Prepared_Data!E43</f>
        <v>65012.19</v>
      </c>
      <c r="D79" s="9" t="n">
        <f aca="false">Cleaned_Prepared_Data!I43</f>
        <v>98.3</v>
      </c>
      <c r="E79" s="9" t="n">
        <f aca="false">Cleaned_Prepared_Data!H43</f>
        <v>24</v>
      </c>
      <c r="F79" s="9" t="n">
        <f aca="false">Cleaned_Prepared_Data!G43</f>
        <v>0.085</v>
      </c>
      <c r="G79" s="9" t="n">
        <f aca="false">Dummy_Variables!D43</f>
        <v>0</v>
      </c>
      <c r="H79" s="9" t="n">
        <f aca="false">Dummy_Variables!E43</f>
        <v>1</v>
      </c>
      <c r="I79" s="9" t="n">
        <f aca="false">Dummy_Variables!F43</f>
        <v>0</v>
      </c>
    </row>
    <row r="80" customFormat="false" ht="15" hidden="false" customHeight="true" outlineLevel="0" collapsed="false">
      <c r="A80" s="9" t="n">
        <f aca="false">Cleaned_Prepared_Data!M44</f>
        <v>592195.85</v>
      </c>
      <c r="B80" s="9" t="n">
        <f aca="false">Cleaned_Prepared_Data!F44</f>
        <v>3660</v>
      </c>
      <c r="C80" s="9" t="n">
        <f aca="false">Cleaned_Prepared_Data!E44</f>
        <v>40462.94</v>
      </c>
      <c r="D80" s="9" t="n">
        <f aca="false">Cleaned_Prepared_Data!I44</f>
        <v>95.2</v>
      </c>
      <c r="E80" s="9" t="n">
        <f aca="false">Cleaned_Prepared_Data!H44</f>
        <v>11</v>
      </c>
      <c r="F80" s="9" t="n">
        <f aca="false">Cleaned_Prepared_Data!G44</f>
        <v>0.218</v>
      </c>
      <c r="G80" s="9" t="n">
        <f aca="false">Dummy_Variables!D44</f>
        <v>0</v>
      </c>
      <c r="H80" s="9" t="n">
        <f aca="false">Dummy_Variables!E44</f>
        <v>1</v>
      </c>
      <c r="I80" s="9" t="n">
        <f aca="false">Dummy_Variables!F44</f>
        <v>0</v>
      </c>
    </row>
    <row r="81" customFormat="false" ht="15" hidden="false" customHeight="true" outlineLevel="0" collapsed="false">
      <c r="A81" s="9" t="n">
        <f aca="false">Cleaned_Prepared_Data!M45</f>
        <v>532644.46</v>
      </c>
      <c r="B81" s="9" t="n">
        <f aca="false">Cleaned_Prepared_Data!F45</f>
        <v>3227</v>
      </c>
      <c r="C81" s="9" t="n">
        <f aca="false">Cleaned_Prepared_Data!E45</f>
        <v>46123.88</v>
      </c>
      <c r="D81" s="9" t="n">
        <f aca="false">Cleaned_Prepared_Data!I45</f>
        <v>75.4</v>
      </c>
      <c r="E81" s="9" t="n">
        <f aca="false">Cleaned_Prepared_Data!H45</f>
        <v>10</v>
      </c>
      <c r="F81" s="9" t="n">
        <f aca="false">Cleaned_Prepared_Data!G45</f>
        <v>0.143</v>
      </c>
      <c r="G81" s="9" t="n">
        <f aca="false">Dummy_Variables!D45</f>
        <v>0</v>
      </c>
      <c r="H81" s="9" t="n">
        <f aca="false">Dummy_Variables!E45</f>
        <v>1</v>
      </c>
      <c r="I81" s="9" t="n">
        <f aca="false">Dummy_Variables!F45</f>
        <v>0</v>
      </c>
    </row>
    <row r="82" customFormat="false" ht="15" hidden="false" customHeight="true" outlineLevel="0" collapsed="false">
      <c r="A82" s="9" t="n">
        <f aca="false">Cleaned_Prepared_Data!M46</f>
        <v>657429.18</v>
      </c>
      <c r="B82" s="9" t="n">
        <f aca="false">Cleaned_Prepared_Data!F46</f>
        <v>3360</v>
      </c>
      <c r="C82" s="9" t="n">
        <f aca="false">Cleaned_Prepared_Data!E46</f>
        <v>68077.54</v>
      </c>
      <c r="D82" s="9" t="n">
        <f aca="false">Cleaned_Prepared_Data!I46</f>
        <v>88.2</v>
      </c>
      <c r="E82" s="9" t="n">
        <f aca="false">Cleaned_Prepared_Data!H46</f>
        <v>14</v>
      </c>
      <c r="F82" s="9" t="n">
        <f aca="false">Cleaned_Prepared_Data!G46</f>
        <v>0.128</v>
      </c>
      <c r="G82" s="9" t="n">
        <f aca="false">Dummy_Variables!D46</f>
        <v>0</v>
      </c>
      <c r="H82" s="9" t="n">
        <f aca="false">Dummy_Variables!E46</f>
        <v>1</v>
      </c>
      <c r="I82" s="9" t="n">
        <f aca="false">Dummy_Variables!F46</f>
        <v>0</v>
      </c>
    </row>
    <row r="83" customFormat="false" ht="15" hidden="false" customHeight="true" outlineLevel="0" collapsed="false">
      <c r="A83" s="9" t="n">
        <f aca="false">Cleaned_Prepared_Data!M47</f>
        <v>605178</v>
      </c>
      <c r="B83" s="9" t="n">
        <f aca="false">Cleaned_Prepared_Data!F47</f>
        <v>3642</v>
      </c>
      <c r="C83" s="9" t="n">
        <f aca="false">Cleaned_Prepared_Data!E47</f>
        <v>64882.14</v>
      </c>
      <c r="D83" s="9" t="n">
        <f aca="false">Cleaned_Prepared_Data!I47</f>
        <v>87.8</v>
      </c>
      <c r="E83" s="9" t="n">
        <f aca="false">Cleaned_Prepared_Data!H47</f>
        <v>13</v>
      </c>
      <c r="F83" s="9" t="n">
        <f aca="false">Cleaned_Prepared_Data!G47</f>
        <v>0.019</v>
      </c>
      <c r="G83" s="9" t="n">
        <f aca="false">Dummy_Variables!D47</f>
        <v>0</v>
      </c>
      <c r="H83" s="9" t="n">
        <f aca="false">Dummy_Variables!E47</f>
        <v>1</v>
      </c>
      <c r="I83" s="9" t="n">
        <f aca="false">Dummy_Variables!F47</f>
        <v>0</v>
      </c>
    </row>
    <row r="84" customFormat="false" ht="15" hidden="false" customHeight="true" outlineLevel="0" collapsed="false">
      <c r="A84" s="9" t="n">
        <f aca="false">Cleaned_Prepared_Data!M48</f>
        <v>595467.6</v>
      </c>
      <c r="B84" s="9" t="n">
        <f aca="false">Cleaned_Prepared_Data!F48</f>
        <v>5145</v>
      </c>
      <c r="C84" s="9" t="n">
        <f aca="false">Cleaned_Prepared_Data!E48</f>
        <v>138855.51</v>
      </c>
      <c r="D84" s="9" t="n">
        <f aca="false">Cleaned_Prepared_Data!I48</f>
        <v>88.2</v>
      </c>
      <c r="E84" s="9" t="n">
        <f aca="false">Cleaned_Prepared_Data!H48</f>
        <v>17</v>
      </c>
      <c r="F84" s="9" t="n">
        <f aca="false">Cleaned_Prepared_Data!G48</f>
        <v>0.06</v>
      </c>
      <c r="G84" s="9" t="n">
        <f aca="false">Dummy_Variables!D48</f>
        <v>0</v>
      </c>
      <c r="H84" s="9" t="n">
        <f aca="false">Dummy_Variables!E48</f>
        <v>0</v>
      </c>
      <c r="I84" s="9" t="n">
        <f aca="false">Dummy_Variables!F48</f>
        <v>1</v>
      </c>
    </row>
    <row r="85" customFormat="false" ht="15" hidden="false" customHeight="true" outlineLevel="0" collapsed="false">
      <c r="A85" s="9" t="n">
        <f aca="false">Cleaned_Prepared_Data!M49</f>
        <v>599603.4</v>
      </c>
      <c r="B85" s="9" t="n">
        <f aca="false">Cleaned_Prepared_Data!F49</f>
        <v>4460</v>
      </c>
      <c r="C85" s="9" t="n">
        <f aca="false">Cleaned_Prepared_Data!E49</f>
        <v>63630.21</v>
      </c>
      <c r="D85" s="9" t="n">
        <f aca="false">Cleaned_Prepared_Data!I49</f>
        <v>98.6</v>
      </c>
      <c r="E85" s="9" t="n">
        <f aca="false">Cleaned_Prepared_Data!H49</f>
        <v>14</v>
      </c>
      <c r="F85" s="9" t="n">
        <f aca="false">Cleaned_Prepared_Data!G49</f>
        <v>0.235</v>
      </c>
      <c r="G85" s="9" t="n">
        <f aca="false">Dummy_Variables!D49</f>
        <v>0</v>
      </c>
      <c r="H85" s="9" t="n">
        <f aca="false">Dummy_Variables!E49</f>
        <v>0</v>
      </c>
      <c r="I85" s="9" t="n">
        <f aca="false">Dummy_Variables!F49</f>
        <v>1</v>
      </c>
    </row>
    <row r="86" customFormat="false" ht="15" hidden="false" customHeight="true" outlineLevel="0" collapsed="false">
      <c r="A86" s="9" t="n">
        <f aca="false">Cleaned_Prepared_Data!M50</f>
        <v>614800.09</v>
      </c>
      <c r="B86" s="9" t="n">
        <f aca="false">Cleaned_Prepared_Data!F50</f>
        <v>3804</v>
      </c>
      <c r="C86" s="9" t="n">
        <f aca="false">Cleaned_Prepared_Data!E50</f>
        <v>50043.65</v>
      </c>
      <c r="D86" s="9" t="n">
        <f aca="false">Cleaned_Prepared_Data!I50</f>
        <v>90.9</v>
      </c>
      <c r="E86" s="9" t="n">
        <f aca="false">Cleaned_Prepared_Data!H50</f>
        <v>11</v>
      </c>
      <c r="F86" s="9" t="n">
        <f aca="false">Cleaned_Prepared_Data!G50</f>
        <v>0.113</v>
      </c>
      <c r="G86" s="9" t="n">
        <f aca="false">Dummy_Variables!D50</f>
        <v>0</v>
      </c>
      <c r="H86" s="9" t="n">
        <f aca="false">Dummy_Variables!E50</f>
        <v>0</v>
      </c>
      <c r="I86" s="9" t="n">
        <f aca="false">Dummy_Variables!F50</f>
        <v>1</v>
      </c>
    </row>
    <row r="87" customFormat="false" ht="15" hidden="false" customHeight="true" outlineLevel="0" collapsed="false">
      <c r="A87" s="9" t="n">
        <f aca="false">Cleaned_Prepared_Data!M51</f>
        <v>585365.73</v>
      </c>
      <c r="B87" s="9" t="n">
        <f aca="false">Cleaned_Prepared_Data!F51</f>
        <v>4074</v>
      </c>
      <c r="C87" s="9" t="n">
        <f aca="false">Cleaned_Prepared_Data!E51</f>
        <v>42093.84</v>
      </c>
      <c r="D87" s="9" t="n">
        <f aca="false">Cleaned_Prepared_Data!I51</f>
        <v>88</v>
      </c>
      <c r="E87" s="9" t="n">
        <f aca="false">Cleaned_Prepared_Data!H51</f>
        <v>15</v>
      </c>
      <c r="F87" s="9" t="n">
        <f aca="false">Cleaned_Prepared_Data!G51</f>
        <v>0.155</v>
      </c>
      <c r="G87" s="9" t="n">
        <f aca="false">Dummy_Variables!D51</f>
        <v>0</v>
      </c>
      <c r="H87" s="9" t="n">
        <f aca="false">Dummy_Variables!E51</f>
        <v>0</v>
      </c>
      <c r="I87" s="9" t="n">
        <f aca="false">Dummy_Variables!F51</f>
        <v>1</v>
      </c>
    </row>
    <row r="88" customFormat="false" ht="15" hidden="false" customHeight="true" outlineLevel="0" collapsed="false">
      <c r="A88" s="9" t="n">
        <f aca="false">Cleaned_Prepared_Data!M52</f>
        <v>622811.74</v>
      </c>
      <c r="B88" s="9" t="n">
        <f aca="false">Cleaned_Prepared_Data!F52</f>
        <v>5104</v>
      </c>
      <c r="C88" s="9" t="n">
        <f aca="false">Cleaned_Prepared_Data!E52</f>
        <v>46624.05</v>
      </c>
      <c r="D88" s="9" t="n">
        <f aca="false">Cleaned_Prepared_Data!I52</f>
        <v>97.3</v>
      </c>
      <c r="E88" s="9" t="n">
        <f aca="false">Cleaned_Prepared_Data!H52</f>
        <v>11</v>
      </c>
      <c r="F88" s="9" t="n">
        <f aca="false">Cleaned_Prepared_Data!G52</f>
        <v>0.109</v>
      </c>
      <c r="G88" s="9" t="n">
        <f aca="false">Dummy_Variables!D52</f>
        <v>0</v>
      </c>
      <c r="H88" s="9" t="n">
        <f aca="false">Dummy_Variables!E52</f>
        <v>1</v>
      </c>
      <c r="I88" s="9" t="n">
        <f aca="false">Dummy_Variables!F52</f>
        <v>0</v>
      </c>
    </row>
    <row r="89" customFormat="false" ht="15" hidden="false" customHeight="true" outlineLevel="0" collapsed="false">
      <c r="A89" s="9" t="n">
        <f aca="false">Cleaned_Prepared_Data!M53</f>
        <v>603297.57</v>
      </c>
      <c r="B89" s="9" t="n">
        <f aca="false">Cleaned_Prepared_Data!F53</f>
        <v>5559</v>
      </c>
      <c r="C89" s="9" t="n">
        <f aca="false">Cleaned_Prepared_Data!E53</f>
        <v>49710.29</v>
      </c>
      <c r="D89" s="9" t="n">
        <f aca="false">Cleaned_Prepared_Data!I53</f>
        <v>71</v>
      </c>
      <c r="E89" s="9" t="n">
        <f aca="false">Cleaned_Prepared_Data!H53</f>
        <v>14</v>
      </c>
      <c r="F89" s="9" t="n">
        <f aca="false">Cleaned_Prepared_Data!G53</f>
        <v>0.218</v>
      </c>
      <c r="G89" s="9" t="n">
        <f aca="false">Dummy_Variables!D53</f>
        <v>0</v>
      </c>
      <c r="H89" s="9" t="n">
        <f aca="false">Dummy_Variables!E53</f>
        <v>1</v>
      </c>
      <c r="I89" s="9" t="n">
        <f aca="false">Dummy_Variables!F53</f>
        <v>0</v>
      </c>
    </row>
    <row r="90" customFormat="false" ht="15" hidden="false" customHeight="true" outlineLevel="0" collapsed="false">
      <c r="A90" s="9" t="n">
        <f aca="false">Cleaned_Prepared_Data!M54</f>
        <v>625672.86</v>
      </c>
      <c r="B90" s="9" t="n">
        <f aca="false">Cleaned_Prepared_Data!F54</f>
        <v>5150</v>
      </c>
      <c r="C90" s="9" t="n">
        <f aca="false">Cleaned_Prepared_Data!E54</f>
        <v>48287.85</v>
      </c>
      <c r="D90" s="9" t="n">
        <f aca="false">Cleaned_Prepared_Data!I54</f>
        <v>80.4</v>
      </c>
      <c r="E90" s="9" t="n">
        <f aca="false">Cleaned_Prepared_Data!H54</f>
        <v>12</v>
      </c>
      <c r="F90" s="9" t="n">
        <f aca="false">Cleaned_Prepared_Data!G54</f>
        <v>0.008</v>
      </c>
      <c r="G90" s="9" t="n">
        <f aca="false">Dummy_Variables!D54</f>
        <v>0</v>
      </c>
      <c r="H90" s="9" t="n">
        <f aca="false">Dummy_Variables!E54</f>
        <v>1</v>
      </c>
      <c r="I90" s="9" t="n">
        <f aca="false">Dummy_Variables!F54</f>
        <v>0</v>
      </c>
    </row>
    <row r="91" customFormat="false" ht="15" hidden="false" customHeight="true" outlineLevel="0" collapsed="false">
      <c r="A91" s="9" t="n">
        <f aca="false">Cleaned_Prepared_Data!M55</f>
        <v>773815.14</v>
      </c>
      <c r="B91" s="9" t="n">
        <f aca="false">Cleaned_Prepared_Data!F55</f>
        <v>7189</v>
      </c>
      <c r="C91" s="9" t="n">
        <f aca="false">Cleaned_Prepared_Data!E55</f>
        <v>65312.49</v>
      </c>
      <c r="D91" s="9" t="n">
        <f aca="false">Cleaned_Prepared_Data!I55</f>
        <v>93.7</v>
      </c>
      <c r="E91" s="9" t="n">
        <f aca="false">Cleaned_Prepared_Data!H55</f>
        <v>19</v>
      </c>
      <c r="F91" s="9" t="n">
        <f aca="false">Cleaned_Prepared_Data!G55</f>
        <v>0.05</v>
      </c>
      <c r="G91" s="9" t="n">
        <f aca="false">Dummy_Variables!D55</f>
        <v>0</v>
      </c>
      <c r="H91" s="9" t="n">
        <f aca="false">Dummy_Variables!E55</f>
        <v>1</v>
      </c>
      <c r="I91" s="9" t="n">
        <f aca="false">Dummy_Variables!F55</f>
        <v>0</v>
      </c>
    </row>
    <row r="92" customFormat="false" ht="15" hidden="false" customHeight="true" outlineLevel="0" collapsed="false">
      <c r="A92" s="9" t="n">
        <f aca="false">Cleaned_Prepared_Data!M56</f>
        <v>463534.25</v>
      </c>
      <c r="B92" s="9" t="n">
        <f aca="false">Cleaned_Prepared_Data!F56</f>
        <v>3279</v>
      </c>
      <c r="C92" s="9" t="n">
        <f aca="false">Cleaned_Prepared_Data!E56</f>
        <v>53015.46</v>
      </c>
      <c r="D92" s="9" t="n">
        <f aca="false">Cleaned_Prepared_Data!I56</f>
        <v>84.3</v>
      </c>
      <c r="E92" s="9" t="n">
        <f aca="false">Cleaned_Prepared_Data!H56</f>
        <v>9</v>
      </c>
      <c r="F92" s="9" t="n">
        <f aca="false">Cleaned_Prepared_Data!G56</f>
        <v>0.087</v>
      </c>
      <c r="G92" s="9" t="n">
        <f aca="false">Dummy_Variables!D56</f>
        <v>0</v>
      </c>
      <c r="H92" s="9" t="n">
        <f aca="false">Dummy_Variables!E56</f>
        <v>0</v>
      </c>
      <c r="I92" s="9" t="n">
        <f aca="false">Dummy_Variables!F56</f>
        <v>0</v>
      </c>
    </row>
    <row r="93" customFormat="false" ht="15" hidden="false" customHeight="true" outlineLevel="0" collapsed="false">
      <c r="A93" s="9" t="n">
        <f aca="false">Cleaned_Prepared_Data!M57</f>
        <v>746677.75</v>
      </c>
      <c r="B93" s="9" t="n">
        <f aca="false">Cleaned_Prepared_Data!F57</f>
        <v>5887</v>
      </c>
      <c r="C93" s="9" t="n">
        <f aca="false">Cleaned_Prepared_Data!E57</f>
        <v>99874.01</v>
      </c>
      <c r="D93" s="9" t="n">
        <f aca="false">Cleaned_Prepared_Data!I57</f>
        <v>88.7</v>
      </c>
      <c r="E93" s="9" t="n">
        <f aca="false">Cleaned_Prepared_Data!H57</f>
        <v>14</v>
      </c>
      <c r="F93" s="9" t="n">
        <f aca="false">Cleaned_Prepared_Data!G57</f>
        <v>0.262</v>
      </c>
      <c r="G93" s="9" t="n">
        <f aca="false">Dummy_Variables!D57</f>
        <v>0</v>
      </c>
      <c r="H93" s="9" t="n">
        <f aca="false">Dummy_Variables!E57</f>
        <v>0</v>
      </c>
      <c r="I93" s="9" t="n">
        <f aca="false">Dummy_Variables!F57</f>
        <v>0</v>
      </c>
    </row>
    <row r="94" customFormat="false" ht="15" hidden="false" customHeight="true" outlineLevel="0" collapsed="false">
      <c r="A94" s="9" t="n">
        <f aca="false">Cleaned_Prepared_Data!M58</f>
        <v>720852.5</v>
      </c>
      <c r="B94" s="9" t="n">
        <f aca="false">Cleaned_Prepared_Data!F58</f>
        <v>5516</v>
      </c>
      <c r="C94" s="9" t="n">
        <f aca="false">Cleaned_Prepared_Data!E58</f>
        <v>81195.5</v>
      </c>
      <c r="D94" s="9" t="n">
        <f aca="false">Cleaned_Prepared_Data!I58</f>
        <v>88</v>
      </c>
      <c r="E94" s="9" t="n">
        <f aca="false">Cleaned_Prepared_Data!H58</f>
        <v>14</v>
      </c>
      <c r="F94" s="9" t="n">
        <f aca="false">Cleaned_Prepared_Data!G58</f>
        <v>0.106</v>
      </c>
      <c r="G94" s="9" t="n">
        <f aca="false">Dummy_Variables!D58</f>
        <v>0</v>
      </c>
      <c r="H94" s="9" t="n">
        <f aca="false">Dummy_Variables!E58</f>
        <v>0</v>
      </c>
      <c r="I94" s="9" t="n">
        <f aca="false">Dummy_Variables!F58</f>
        <v>0</v>
      </c>
    </row>
    <row r="95" customFormat="false" ht="15" hidden="false" customHeight="true" outlineLevel="0" collapsed="false">
      <c r="A95" s="9" t="n">
        <f aca="false">Cleaned_Prepared_Data!M59</f>
        <v>487464.91</v>
      </c>
      <c r="B95" s="9" t="n">
        <f aca="false">Cleaned_Prepared_Data!F59</f>
        <v>2863</v>
      </c>
      <c r="C95" s="9" t="n">
        <f aca="false">Cleaned_Prepared_Data!E59</f>
        <v>27808.6</v>
      </c>
      <c r="D95" s="9" t="n">
        <f aca="false">Cleaned_Prepared_Data!I59</f>
        <v>89.3</v>
      </c>
      <c r="E95" s="9" t="n">
        <f aca="false">Cleaned_Prepared_Data!H59</f>
        <v>13</v>
      </c>
      <c r="F95" s="9" t="n">
        <f aca="false">Cleaned_Prepared_Data!G59</f>
        <v>0.08</v>
      </c>
      <c r="G95" s="9" t="n">
        <f aca="false">Dummy_Variables!D59</f>
        <v>0</v>
      </c>
      <c r="H95" s="9" t="n">
        <f aca="false">Dummy_Variables!E59</f>
        <v>0</v>
      </c>
      <c r="I95" s="9" t="n">
        <f aca="false">Dummy_Variables!F59</f>
        <v>0</v>
      </c>
    </row>
    <row r="96" customFormat="false" ht="15" hidden="false" customHeight="true" outlineLevel="0" collapsed="false">
      <c r="A96" s="9" t="n">
        <f aca="false">Cleaned_Prepared_Data!M60</f>
        <v>518049.26</v>
      </c>
      <c r="B96" s="9" t="n">
        <f aca="false">Cleaned_Prepared_Data!F60</f>
        <v>2378</v>
      </c>
      <c r="C96" s="9" t="n">
        <f aca="false">Cleaned_Prepared_Data!E60</f>
        <v>19365.06</v>
      </c>
      <c r="D96" s="9" t="n">
        <f aca="false">Cleaned_Prepared_Data!I60</f>
        <v>94.8</v>
      </c>
      <c r="E96" s="9" t="n">
        <f aca="false">Cleaned_Prepared_Data!H60</f>
        <v>12</v>
      </c>
      <c r="F96" s="9" t="n">
        <f aca="false">Cleaned_Prepared_Data!G60</f>
        <v>0</v>
      </c>
      <c r="G96" s="9" t="n">
        <f aca="false">Dummy_Variables!D60</f>
        <v>1</v>
      </c>
      <c r="H96" s="9" t="n">
        <f aca="false">Dummy_Variables!E60</f>
        <v>0</v>
      </c>
      <c r="I96" s="9" t="n">
        <f aca="false">Dummy_Variables!F60</f>
        <v>0</v>
      </c>
    </row>
    <row r="97" customFormat="false" ht="15" hidden="false" customHeight="true" outlineLevel="0" collapsed="false">
      <c r="A97" s="9" t="n">
        <f aca="false">Cleaned_Prepared_Data!M61</f>
        <v>500298.48</v>
      </c>
      <c r="B97" s="9" t="n">
        <f aca="false">Cleaned_Prepared_Data!F61</f>
        <v>2515</v>
      </c>
      <c r="C97" s="9" t="n">
        <f aca="false">Cleaned_Prepared_Data!E61</f>
        <v>59405.68</v>
      </c>
      <c r="D97" s="9" t="n">
        <f aca="false">Cleaned_Prepared_Data!I61</f>
        <v>76</v>
      </c>
      <c r="E97" s="9" t="n">
        <f aca="false">Cleaned_Prepared_Data!H61</f>
        <v>12</v>
      </c>
      <c r="F97" s="9" t="n">
        <f aca="false">Cleaned_Prepared_Data!G61</f>
        <v>0.039</v>
      </c>
      <c r="G97" s="9" t="n">
        <f aca="false">Dummy_Variables!D61</f>
        <v>1</v>
      </c>
      <c r="H97" s="9" t="n">
        <f aca="false">Dummy_Variables!E61</f>
        <v>0</v>
      </c>
      <c r="I97" s="9" t="n">
        <f aca="false">Dummy_Variables!F61</f>
        <v>0</v>
      </c>
    </row>
    <row r="98" customFormat="false" ht="15" hidden="false" customHeight="true" outlineLevel="0" collapsed="false">
      <c r="A98" s="9" t="n">
        <f aca="false">Cleaned_Prepared_Data!M62</f>
        <v>617291.15</v>
      </c>
      <c r="B98" s="9" t="n">
        <f aca="false">Cleaned_Prepared_Data!F62</f>
        <v>4022</v>
      </c>
      <c r="C98" s="9" t="n">
        <f aca="false">Cleaned_Prepared_Data!E62</f>
        <v>118910.48</v>
      </c>
      <c r="D98" s="9" t="n">
        <f aca="false">Cleaned_Prepared_Data!I62</f>
        <v>87.1</v>
      </c>
      <c r="E98" s="9" t="n">
        <f aca="false">Cleaned_Prepared_Data!H62</f>
        <v>11</v>
      </c>
      <c r="F98" s="9" t="n">
        <f aca="false">Cleaned_Prepared_Data!G62</f>
        <v>0.137</v>
      </c>
      <c r="G98" s="9" t="n">
        <f aca="false">Dummy_Variables!D62</f>
        <v>1</v>
      </c>
      <c r="H98" s="9" t="n">
        <f aca="false">Dummy_Variables!E62</f>
        <v>0</v>
      </c>
      <c r="I98" s="9" t="n">
        <f aca="false">Dummy_Variables!F62</f>
        <v>0</v>
      </c>
    </row>
    <row r="99" customFormat="false" ht="15" hidden="false" customHeight="true" outlineLevel="0" collapsed="false">
      <c r="A99" s="9" t="n">
        <f aca="false">Cleaned_Prepared_Data!M63</f>
        <v>553756.43</v>
      </c>
      <c r="B99" s="9" t="n">
        <f aca="false">Cleaned_Prepared_Data!F63</f>
        <v>4377</v>
      </c>
      <c r="C99" s="9" t="n">
        <f aca="false">Cleaned_Prepared_Data!E63</f>
        <v>52952.12</v>
      </c>
      <c r="D99" s="9" t="n">
        <f aca="false">Cleaned_Prepared_Data!I63</f>
        <v>88.6</v>
      </c>
      <c r="E99" s="9" t="n">
        <f aca="false">Cleaned_Prepared_Data!H63</f>
        <v>14</v>
      </c>
      <c r="F99" s="9" t="n">
        <f aca="false">Cleaned_Prepared_Data!G63</f>
        <v>0.092</v>
      </c>
      <c r="G99" s="9" t="n">
        <f aca="false">Dummy_Variables!D63</f>
        <v>1</v>
      </c>
      <c r="H99" s="9" t="n">
        <f aca="false">Dummy_Variables!E63</f>
        <v>0</v>
      </c>
      <c r="I99" s="9" t="n">
        <f aca="false">Dummy_Variables!F63</f>
        <v>0</v>
      </c>
    </row>
    <row r="100" customFormat="false" ht="15" hidden="false" customHeight="true" outlineLevel="0" collapsed="false">
      <c r="A100" s="9" t="n">
        <f aca="false">Cleaned_Prepared_Data!M64</f>
        <v>749559.71</v>
      </c>
      <c r="B100" s="9" t="n">
        <f aca="false">Cleaned_Prepared_Data!F64</f>
        <v>5306</v>
      </c>
      <c r="C100" s="9" t="n">
        <f aca="false">Cleaned_Prepared_Data!E64</f>
        <v>74907.98</v>
      </c>
      <c r="D100" s="9" t="n">
        <f aca="false">Cleaned_Prepared_Data!I64</f>
        <v>95.6</v>
      </c>
      <c r="E100" s="9" t="n">
        <f aca="false">Cleaned_Prepared_Data!H64</f>
        <v>16</v>
      </c>
      <c r="F100" s="9" t="n">
        <f aca="false">Cleaned_Prepared_Data!G64</f>
        <v>0.062</v>
      </c>
      <c r="G100" s="9" t="n">
        <f aca="false">Dummy_Variables!D64</f>
        <v>0</v>
      </c>
      <c r="H100" s="9" t="n">
        <f aca="false">Dummy_Variables!E64</f>
        <v>0</v>
      </c>
      <c r="I100" s="9" t="n">
        <f aca="false">Dummy_Variables!F64</f>
        <v>0</v>
      </c>
    </row>
    <row r="101" customFormat="false" ht="15" hidden="false" customHeight="true" outlineLevel="0" collapsed="false">
      <c r="A101" s="9" t="n">
        <f aca="false">Cleaned_Prepared_Data!M65</f>
        <v>615966.48</v>
      </c>
      <c r="B101" s="9" t="n">
        <f aca="false">Cleaned_Prepared_Data!F65</f>
        <v>3928</v>
      </c>
      <c r="C101" s="9" t="n">
        <f aca="false">Cleaned_Prepared_Data!E65</f>
        <v>37284.66</v>
      </c>
      <c r="D101" s="9" t="n">
        <f aca="false">Cleaned_Prepared_Data!I65</f>
        <v>86.5</v>
      </c>
      <c r="E101" s="9" t="n">
        <f aca="false">Cleaned_Prepared_Data!H65</f>
        <v>12</v>
      </c>
      <c r="F101" s="9" t="n">
        <f aca="false">Cleaned_Prepared_Data!G65</f>
        <v>0.074</v>
      </c>
      <c r="G101" s="9" t="n">
        <f aca="false">Dummy_Variables!D65</f>
        <v>0</v>
      </c>
      <c r="H101" s="9" t="n">
        <f aca="false">Dummy_Variables!E65</f>
        <v>0</v>
      </c>
      <c r="I101" s="9" t="n">
        <f aca="false">Dummy_Variables!F65</f>
        <v>0</v>
      </c>
    </row>
    <row r="102" customFormat="false" ht="15" hidden="false" customHeight="true" outlineLevel="0" collapsed="false">
      <c r="A102" s="9" t="n">
        <f aca="false">Cleaned_Prepared_Data!M66</f>
        <v>572011.2</v>
      </c>
      <c r="B102" s="9" t="n">
        <f aca="false">Cleaned_Prepared_Data!F66</f>
        <v>3845</v>
      </c>
      <c r="C102" s="9" t="n">
        <f aca="false">Cleaned_Prepared_Data!E66</f>
        <v>50343.19</v>
      </c>
      <c r="D102" s="9" t="n">
        <f aca="false">Cleaned_Prepared_Data!I66</f>
        <v>88.7</v>
      </c>
      <c r="E102" s="9" t="n">
        <f aca="false">Cleaned_Prepared_Data!H66</f>
        <v>9</v>
      </c>
      <c r="F102" s="9" t="n">
        <f aca="false">Cleaned_Prepared_Data!G66</f>
        <v>0.113</v>
      </c>
      <c r="G102" s="9" t="n">
        <f aca="false">Dummy_Variables!D66</f>
        <v>0</v>
      </c>
      <c r="H102" s="9" t="n">
        <f aca="false">Dummy_Variables!E66</f>
        <v>0</v>
      </c>
      <c r="I102" s="9" t="n">
        <f aca="false">Dummy_Variables!F66</f>
        <v>0</v>
      </c>
    </row>
    <row r="103" customFormat="false" ht="15" hidden="false" customHeight="true" outlineLevel="0" collapsed="false">
      <c r="A103" s="9" t="n">
        <f aca="false">Cleaned_Prepared_Data!M67</f>
        <v>761860.19</v>
      </c>
      <c r="B103" s="9" t="n">
        <f aca="false">Cleaned_Prepared_Data!F67</f>
        <v>6620</v>
      </c>
      <c r="C103" s="9" t="n">
        <f aca="false">Cleaned_Prepared_Data!E67</f>
        <v>74954.47</v>
      </c>
      <c r="D103" s="9" t="n">
        <f aca="false">Cleaned_Prepared_Data!I67</f>
        <v>91.1</v>
      </c>
      <c r="E103" s="9" t="n">
        <f aca="false">Cleaned_Prepared_Data!H67</f>
        <v>17</v>
      </c>
      <c r="F103" s="9" t="n">
        <f aca="false">Cleaned_Prepared_Data!G67</f>
        <v>0.054</v>
      </c>
      <c r="G103" s="9" t="n">
        <f aca="false">Dummy_Variables!D67</f>
        <v>0</v>
      </c>
      <c r="H103" s="9" t="n">
        <f aca="false">Dummy_Variables!E67</f>
        <v>0</v>
      </c>
      <c r="I103" s="9" t="n">
        <f aca="false">Dummy_Variables!F67</f>
        <v>0</v>
      </c>
    </row>
    <row r="104" customFormat="false" ht="15" hidden="false" customHeight="true" outlineLevel="0" collapsed="false">
      <c r="A104" s="9" t="n">
        <f aca="false">Cleaned_Prepared_Data!M68</f>
        <v>784502.68</v>
      </c>
      <c r="B104" s="9" t="n">
        <f aca="false">Cleaned_Prepared_Data!F68</f>
        <v>9175</v>
      </c>
      <c r="C104" s="9" t="n">
        <f aca="false">Cleaned_Prepared_Data!E68</f>
        <v>70040.31</v>
      </c>
      <c r="D104" s="9" t="n">
        <f aca="false">Cleaned_Prepared_Data!I68</f>
        <v>95.1</v>
      </c>
      <c r="E104" s="9" t="n">
        <f aca="false">Cleaned_Prepared_Data!H68</f>
        <v>23</v>
      </c>
      <c r="F104" s="9" t="n">
        <f aca="false">Cleaned_Prepared_Data!G68</f>
        <v>0.107</v>
      </c>
      <c r="G104" s="9" t="n">
        <f aca="false">Dummy_Variables!D68</f>
        <v>0</v>
      </c>
      <c r="H104" s="9" t="n">
        <f aca="false">Dummy_Variables!E68</f>
        <v>0</v>
      </c>
      <c r="I104" s="9" t="n">
        <f aca="false">Dummy_Variables!F68</f>
        <v>0</v>
      </c>
    </row>
    <row r="105" customFormat="false" ht="15" hidden="false" customHeight="true" outlineLevel="0" collapsed="false">
      <c r="A105" s="9" t="n">
        <f aca="false">Cleaned_Prepared_Data!M69</f>
        <v>717141.55</v>
      </c>
      <c r="B105" s="9" t="n">
        <f aca="false">Cleaned_Prepared_Data!F69</f>
        <v>7940</v>
      </c>
      <c r="C105" s="9" t="n">
        <f aca="false">Cleaned_Prepared_Data!E69</f>
        <v>51148.69</v>
      </c>
      <c r="D105" s="9" t="n">
        <f aca="false">Cleaned_Prepared_Data!I69</f>
        <v>93.3</v>
      </c>
      <c r="E105" s="9" t="n">
        <f aca="false">Cleaned_Prepared_Data!H69</f>
        <v>18</v>
      </c>
      <c r="F105" s="9" t="n">
        <f aca="false">Cleaned_Prepared_Data!G69</f>
        <v>0.156</v>
      </c>
      <c r="G105" s="9" t="n">
        <f aca="false">Dummy_Variables!D69</f>
        <v>0</v>
      </c>
      <c r="H105" s="9" t="n">
        <f aca="false">Dummy_Variables!E69</f>
        <v>0</v>
      </c>
      <c r="I105" s="9" t="n">
        <f aca="false">Dummy_Variables!F69</f>
        <v>0</v>
      </c>
    </row>
    <row r="106" customFormat="false" ht="15" hidden="false" customHeight="true" outlineLevel="0" collapsed="false">
      <c r="A106" s="9" t="n">
        <f aca="false">Cleaned_Prepared_Data!M70</f>
        <v>685379.08</v>
      </c>
      <c r="B106" s="9" t="n">
        <f aca="false">Cleaned_Prepared_Data!F70</f>
        <v>9628</v>
      </c>
      <c r="C106" s="9" t="n">
        <f aca="false">Cleaned_Prepared_Data!E70</f>
        <v>79346.1</v>
      </c>
      <c r="D106" s="9" t="n">
        <f aca="false">Cleaned_Prepared_Data!I70</f>
        <v>99</v>
      </c>
      <c r="E106" s="9" t="n">
        <f aca="false">Cleaned_Prepared_Data!H70</f>
        <v>20</v>
      </c>
      <c r="F106" s="9" t="n">
        <f aca="false">Cleaned_Prepared_Data!G70</f>
        <v>0.102</v>
      </c>
      <c r="G106" s="9" t="n">
        <f aca="false">Dummy_Variables!D70</f>
        <v>0</v>
      </c>
      <c r="H106" s="9" t="n">
        <f aca="false">Dummy_Variables!E70</f>
        <v>0</v>
      </c>
      <c r="I106" s="9" t="n">
        <f aca="false">Dummy_Variables!F70</f>
        <v>0</v>
      </c>
    </row>
    <row r="107" customFormat="false" ht="15" hidden="false" customHeight="true" outlineLevel="0" collapsed="false">
      <c r="A107" s="9" t="n">
        <f aca="false">Cleaned_Prepared_Data!M71</f>
        <v>740496.65</v>
      </c>
      <c r="B107" s="9" t="n">
        <f aca="false">Cleaned_Prepared_Data!F71</f>
        <v>8296</v>
      </c>
      <c r="C107" s="9" t="n">
        <f aca="false">Cleaned_Prepared_Data!E71</f>
        <v>42018.4</v>
      </c>
      <c r="D107" s="9" t="n">
        <f aca="false">Cleaned_Prepared_Data!I71</f>
        <v>91.8</v>
      </c>
      <c r="E107" s="9" t="n">
        <f aca="false">Cleaned_Prepared_Data!H71</f>
        <v>17</v>
      </c>
      <c r="F107" s="9" t="n">
        <f aca="false">Cleaned_Prepared_Data!G71</f>
        <v>0.115</v>
      </c>
      <c r="G107" s="9" t="n">
        <f aca="false">Dummy_Variables!D71</f>
        <v>0</v>
      </c>
      <c r="H107" s="9" t="n">
        <f aca="false">Dummy_Variables!E71</f>
        <v>0</v>
      </c>
      <c r="I107" s="9" t="n">
        <f aca="false">Dummy_Variables!F71</f>
        <v>0</v>
      </c>
    </row>
    <row r="108" customFormat="false" ht="15" hidden="false" customHeight="true" outlineLevel="0" collapsed="false">
      <c r="A108" s="9" t="n">
        <f aca="false">Cleaned_Prepared_Data!M72</f>
        <v>661927.14</v>
      </c>
      <c r="B108" s="9" t="n">
        <f aca="false">Cleaned_Prepared_Data!F72</f>
        <v>3595</v>
      </c>
      <c r="C108" s="9" t="n">
        <f aca="false">Cleaned_Prepared_Data!E72</f>
        <v>70937.24</v>
      </c>
      <c r="D108" s="9" t="n">
        <f aca="false">Cleaned_Prepared_Data!I72</f>
        <v>88.9</v>
      </c>
      <c r="E108" s="9" t="n">
        <f aca="false">Cleaned_Prepared_Data!H72</f>
        <v>11</v>
      </c>
      <c r="F108" s="9" t="n">
        <f aca="false">Cleaned_Prepared_Data!G72</f>
        <v>0.141</v>
      </c>
      <c r="G108" s="9" t="n">
        <f aca="false">Dummy_Variables!D72</f>
        <v>0</v>
      </c>
      <c r="H108" s="9" t="n">
        <f aca="false">Dummy_Variables!E72</f>
        <v>0</v>
      </c>
      <c r="I108" s="9" t="n">
        <f aca="false">Dummy_Variables!F72</f>
        <v>0</v>
      </c>
    </row>
    <row r="109" customFormat="false" ht="15" hidden="false" customHeight="true" outlineLevel="0" collapsed="false">
      <c r="A109" s="9" t="n">
        <f aca="false">Cleaned_Prepared_Data!M73</f>
        <v>479050.5</v>
      </c>
      <c r="B109" s="9" t="n">
        <f aca="false">Cleaned_Prepared_Data!F73</f>
        <v>2834</v>
      </c>
      <c r="C109" s="9" t="n">
        <f aca="false">Cleaned_Prepared_Data!E73</f>
        <v>36813.45</v>
      </c>
      <c r="D109" s="9" t="n">
        <f aca="false">Cleaned_Prepared_Data!I73</f>
        <v>81.8</v>
      </c>
      <c r="E109" s="9" t="n">
        <f aca="false">Cleaned_Prepared_Data!H73</f>
        <v>11</v>
      </c>
      <c r="F109" s="9" t="n">
        <f aca="false">Cleaned_Prepared_Data!G73</f>
        <v>0.191</v>
      </c>
      <c r="G109" s="9" t="n">
        <f aca="false">Dummy_Variables!D73</f>
        <v>0</v>
      </c>
      <c r="H109" s="9" t="n">
        <f aca="false">Dummy_Variables!E73</f>
        <v>0</v>
      </c>
      <c r="I109" s="9" t="n">
        <f aca="false">Dummy_Variables!F73</f>
        <v>0</v>
      </c>
    </row>
    <row r="110" customFormat="false" ht="15" hidden="false" customHeight="true" outlineLevel="0" collapsed="false">
      <c r="A110" s="9" t="n">
        <f aca="false">Cleaned_Prepared_Data!M74</f>
        <v>605023.87</v>
      </c>
      <c r="B110" s="9" t="n">
        <f aca="false">Cleaned_Prepared_Data!F74</f>
        <v>3193</v>
      </c>
      <c r="C110" s="9" t="n">
        <f aca="false">Cleaned_Prepared_Data!E74</f>
        <v>60571.82</v>
      </c>
      <c r="D110" s="9" t="n">
        <f aca="false">Cleaned_Prepared_Data!I74</f>
        <v>99</v>
      </c>
      <c r="E110" s="9" t="n">
        <f aca="false">Cleaned_Prepared_Data!H74</f>
        <v>7</v>
      </c>
      <c r="F110" s="9" t="n">
        <f aca="false">Cleaned_Prepared_Data!G74</f>
        <v>0.197</v>
      </c>
      <c r="G110" s="9" t="n">
        <f aca="false">Dummy_Variables!D74</f>
        <v>0</v>
      </c>
      <c r="H110" s="9" t="n">
        <f aca="false">Dummy_Variables!E74</f>
        <v>0</v>
      </c>
      <c r="I110" s="9" t="n">
        <f aca="false">Dummy_Variables!F74</f>
        <v>0</v>
      </c>
    </row>
    <row r="111" customFormat="false" ht="15" hidden="false" customHeight="true" outlineLevel="0" collapsed="false">
      <c r="A111" s="9" t="n">
        <f aca="false">Cleaned_Prepared_Data!M75</f>
        <v>616069.41</v>
      </c>
      <c r="B111" s="9" t="n">
        <f aca="false">Cleaned_Prepared_Data!F75</f>
        <v>5918</v>
      </c>
      <c r="C111" s="9" t="n">
        <f aca="false">Cleaned_Prepared_Data!E75</f>
        <v>46201.46</v>
      </c>
      <c r="D111" s="9" t="n">
        <f aca="false">Cleaned_Prepared_Data!I75</f>
        <v>78.8</v>
      </c>
      <c r="E111" s="9" t="n">
        <f aca="false">Cleaned_Prepared_Data!H75</f>
        <v>13</v>
      </c>
      <c r="F111" s="9" t="n">
        <f aca="false">Cleaned_Prepared_Data!G75</f>
        <v>0.277</v>
      </c>
      <c r="G111" s="9" t="n">
        <f aca="false">Dummy_Variables!D75</f>
        <v>0</v>
      </c>
      <c r="H111" s="9" t="n">
        <f aca="false">Dummy_Variables!E75</f>
        <v>0</v>
      </c>
      <c r="I111" s="9" t="n">
        <f aca="false">Dummy_Variables!F75</f>
        <v>1</v>
      </c>
    </row>
    <row r="112" customFormat="false" ht="15" hidden="false" customHeight="true" outlineLevel="0" collapsed="false">
      <c r="A112" s="9" t="n">
        <f aca="false">Cleaned_Prepared_Data!M76</f>
        <v>630829.94</v>
      </c>
      <c r="B112" s="9" t="n">
        <f aca="false">Cleaned_Prepared_Data!F76</f>
        <v>6821</v>
      </c>
      <c r="C112" s="9" t="n">
        <f aca="false">Cleaned_Prepared_Data!E76</f>
        <v>53762.92</v>
      </c>
      <c r="D112" s="9" t="n">
        <f aca="false">Cleaned_Prepared_Data!I76</f>
        <v>94.6</v>
      </c>
      <c r="E112" s="9" t="n">
        <f aca="false">Cleaned_Prepared_Data!H76</f>
        <v>19</v>
      </c>
      <c r="F112" s="9" t="n">
        <f aca="false">Cleaned_Prepared_Data!G76</f>
        <v>0.066</v>
      </c>
      <c r="G112" s="9" t="n">
        <f aca="false">Dummy_Variables!D76</f>
        <v>0</v>
      </c>
      <c r="H112" s="9" t="n">
        <f aca="false">Dummy_Variables!E76</f>
        <v>0</v>
      </c>
      <c r="I112" s="9" t="n">
        <f aca="false">Dummy_Variables!F76</f>
        <v>1</v>
      </c>
    </row>
    <row r="113" customFormat="false" ht="15" hidden="false" customHeight="true" outlineLevel="0" collapsed="false">
      <c r="A113" s="9" t="n">
        <f aca="false">Cleaned_Prepared_Data!M77</f>
        <v>788087.68</v>
      </c>
      <c r="B113" s="9" t="n">
        <f aca="false">Cleaned_Prepared_Data!F77</f>
        <v>6806</v>
      </c>
      <c r="C113" s="9" t="n">
        <f aca="false">Cleaned_Prepared_Data!E77</f>
        <v>70144.78</v>
      </c>
      <c r="D113" s="9" t="n">
        <f aca="false">Cleaned_Prepared_Data!I77</f>
        <v>93.1</v>
      </c>
      <c r="E113" s="9" t="n">
        <f aca="false">Cleaned_Prepared_Data!H77</f>
        <v>20</v>
      </c>
      <c r="F113" s="9" t="n">
        <f aca="false">Cleaned_Prepared_Data!G77</f>
        <v>0.178</v>
      </c>
      <c r="G113" s="9" t="n">
        <f aca="false">Dummy_Variables!D77</f>
        <v>0</v>
      </c>
      <c r="H113" s="9" t="n">
        <f aca="false">Dummy_Variables!E77</f>
        <v>0</v>
      </c>
      <c r="I113" s="9" t="n">
        <f aca="false">Dummy_Variables!F77</f>
        <v>1</v>
      </c>
    </row>
    <row r="114" customFormat="false" ht="15" hidden="false" customHeight="true" outlineLevel="0" collapsed="false">
      <c r="A114" s="9" t="n">
        <f aca="false">Cleaned_Prepared_Data!M78</f>
        <v>680840.36</v>
      </c>
      <c r="B114" s="9" t="n">
        <f aca="false">Cleaned_Prepared_Data!F78</f>
        <v>8252</v>
      </c>
      <c r="C114" s="9" t="n">
        <f aca="false">Cleaned_Prepared_Data!E78</f>
        <v>58749.63</v>
      </c>
      <c r="D114" s="9" t="n">
        <f aca="false">Cleaned_Prepared_Data!I78</f>
        <v>85.2</v>
      </c>
      <c r="E114" s="9" t="n">
        <f aca="false">Cleaned_Prepared_Data!H78</f>
        <v>20</v>
      </c>
      <c r="F114" s="9" t="n">
        <f aca="false">Cleaned_Prepared_Data!G78</f>
        <v>0.203</v>
      </c>
      <c r="G114" s="9" t="n">
        <f aca="false">Dummy_Variables!D78</f>
        <v>0</v>
      </c>
      <c r="H114" s="9" t="n">
        <f aca="false">Dummy_Variables!E78</f>
        <v>0</v>
      </c>
      <c r="I114" s="9" t="n">
        <f aca="false">Dummy_Variables!F78</f>
        <v>1</v>
      </c>
    </row>
    <row r="115" customFormat="false" ht="15" hidden="false" customHeight="true" outlineLevel="0" collapsed="false">
      <c r="A115" s="9" t="n">
        <f aca="false">Cleaned_Prepared_Data!M79</f>
        <v>643657.47</v>
      </c>
      <c r="B115" s="9" t="n">
        <f aca="false">Cleaned_Prepared_Data!F79</f>
        <v>6662</v>
      </c>
      <c r="C115" s="9" t="n">
        <f aca="false">Cleaned_Prepared_Data!E79</f>
        <v>56973.18</v>
      </c>
      <c r="D115" s="9" t="n">
        <f aca="false">Cleaned_Prepared_Data!I79</f>
        <v>77.7</v>
      </c>
      <c r="E115" s="9" t="n">
        <f aca="false">Cleaned_Prepared_Data!H79</f>
        <v>15</v>
      </c>
      <c r="F115" s="9" t="n">
        <f aca="false">Cleaned_Prepared_Data!G79</f>
        <v>0.1</v>
      </c>
      <c r="G115" s="9" t="n">
        <f aca="false">Dummy_Variables!D79</f>
        <v>0</v>
      </c>
      <c r="H115" s="9" t="n">
        <f aca="false">Dummy_Variables!E79</f>
        <v>0</v>
      </c>
      <c r="I115" s="9" t="n">
        <f aca="false">Dummy_Variables!F79</f>
        <v>0</v>
      </c>
    </row>
    <row r="116" customFormat="false" ht="15" hidden="false" customHeight="true" outlineLevel="0" collapsed="false">
      <c r="A116" s="9" t="n">
        <f aca="false">Cleaned_Prepared_Data!M80</f>
        <v>691112.6</v>
      </c>
      <c r="B116" s="9" t="n">
        <f aca="false">Cleaned_Prepared_Data!F80</f>
        <v>5962</v>
      </c>
      <c r="C116" s="9" t="n">
        <f aca="false">Cleaned_Prepared_Data!E80</f>
        <v>54872.82</v>
      </c>
      <c r="D116" s="9" t="n">
        <f aca="false">Cleaned_Prepared_Data!I80</f>
        <v>85.4</v>
      </c>
      <c r="E116" s="9" t="n">
        <f aca="false">Cleaned_Prepared_Data!H80</f>
        <v>12</v>
      </c>
      <c r="F116" s="9" t="n">
        <f aca="false">Cleaned_Prepared_Data!G80</f>
        <v>0.064</v>
      </c>
      <c r="G116" s="9" t="n">
        <f aca="false">Dummy_Variables!D80</f>
        <v>0</v>
      </c>
      <c r="H116" s="9" t="n">
        <f aca="false">Dummy_Variables!E80</f>
        <v>0</v>
      </c>
      <c r="I116" s="9" t="n">
        <f aca="false">Dummy_Variables!F80</f>
        <v>0</v>
      </c>
    </row>
    <row r="117" customFormat="false" ht="15" hidden="false" customHeight="true" outlineLevel="0" collapsed="false">
      <c r="A117" s="9" t="n">
        <f aca="false">Cleaned_Prepared_Data!M81</f>
        <v>776922.17</v>
      </c>
      <c r="B117" s="9" t="n">
        <f aca="false">Cleaned_Prepared_Data!F81</f>
        <v>7470</v>
      </c>
      <c r="C117" s="9" t="n">
        <f aca="false">Cleaned_Prepared_Data!E81</f>
        <v>80562.81</v>
      </c>
      <c r="D117" s="9" t="n">
        <f aca="false">Cleaned_Prepared_Data!I81</f>
        <v>83.5</v>
      </c>
      <c r="E117" s="9" t="n">
        <f aca="false">Cleaned_Prepared_Data!H81</f>
        <v>16</v>
      </c>
      <c r="F117" s="9" t="n">
        <f aca="false">Cleaned_Prepared_Data!G81</f>
        <v>0.172</v>
      </c>
      <c r="G117" s="9" t="n">
        <f aca="false">Dummy_Variables!D81</f>
        <v>0</v>
      </c>
      <c r="H117" s="9" t="n">
        <f aca="false">Dummy_Variables!E81</f>
        <v>0</v>
      </c>
      <c r="I117" s="9" t="n">
        <f aca="false">Dummy_Variables!F81</f>
        <v>0</v>
      </c>
    </row>
    <row r="118" customFormat="false" ht="15" hidden="false" customHeight="true" outlineLevel="0" collapsed="false">
      <c r="A118" s="9" t="n">
        <f aca="false">Cleaned_Prepared_Data!M82</f>
        <v>636561.34</v>
      </c>
      <c r="B118" s="9" t="n">
        <f aca="false">Cleaned_Prepared_Data!F82</f>
        <v>5974</v>
      </c>
      <c r="C118" s="9" t="n">
        <f aca="false">Cleaned_Prepared_Data!E82</f>
        <v>77999.9</v>
      </c>
      <c r="D118" s="9" t="n">
        <f aca="false">Cleaned_Prepared_Data!I82</f>
        <v>81.3</v>
      </c>
      <c r="E118" s="9" t="n">
        <f aca="false">Cleaned_Prepared_Data!H82</f>
        <v>14</v>
      </c>
      <c r="F118" s="9" t="n">
        <f aca="false">Cleaned_Prepared_Data!G82</f>
        <v>0.252</v>
      </c>
      <c r="G118" s="9" t="n">
        <f aca="false">Dummy_Variables!D82</f>
        <v>0</v>
      </c>
      <c r="H118" s="9" t="n">
        <f aca="false">Dummy_Variables!E82</f>
        <v>0</v>
      </c>
      <c r="I118" s="9" t="n">
        <f aca="false">Dummy_Variables!F82</f>
        <v>0</v>
      </c>
    </row>
    <row r="119" customFormat="false" ht="15" hidden="false" customHeight="true" outlineLevel="0" collapsed="false">
      <c r="A119" s="9" t="n">
        <f aca="false">Cleaned_Prepared_Data!M83</f>
        <v>621369.58</v>
      </c>
      <c r="B119" s="9" t="n">
        <f aca="false">Cleaned_Prepared_Data!F83</f>
        <v>5410</v>
      </c>
      <c r="C119" s="9" t="n">
        <f aca="false">Cleaned_Prepared_Data!E83</f>
        <v>60881.01</v>
      </c>
      <c r="D119" s="9" t="n">
        <f aca="false">Cleaned_Prepared_Data!I83</f>
        <v>83.9</v>
      </c>
      <c r="E119" s="9" t="n">
        <f aca="false">Cleaned_Prepared_Data!H83</f>
        <v>15</v>
      </c>
      <c r="F119" s="9" t="n">
        <f aca="false">Cleaned_Prepared_Data!G83</f>
        <v>0.179</v>
      </c>
      <c r="G119" s="9" t="n">
        <f aca="false">Dummy_Variables!D83</f>
        <v>0</v>
      </c>
      <c r="H119" s="9" t="n">
        <f aca="false">Dummy_Variables!E83</f>
        <v>1</v>
      </c>
      <c r="I119" s="9" t="n">
        <f aca="false">Dummy_Variables!F83</f>
        <v>0</v>
      </c>
    </row>
    <row r="120" customFormat="false" ht="15" hidden="false" customHeight="true" outlineLevel="0" collapsed="false">
      <c r="A120" s="9" t="n">
        <f aca="false">Cleaned_Prepared_Data!M84</f>
        <v>682208.01</v>
      </c>
      <c r="B120" s="9" t="n">
        <f aca="false">Cleaned_Prepared_Data!F84</f>
        <v>4451</v>
      </c>
      <c r="C120" s="9" t="n">
        <f aca="false">Cleaned_Prepared_Data!E84</f>
        <v>60628.38</v>
      </c>
      <c r="D120" s="9" t="n">
        <f aca="false">Cleaned_Prepared_Data!I84</f>
        <v>89.6</v>
      </c>
      <c r="E120" s="9" t="n">
        <f aca="false">Cleaned_Prepared_Data!H84</f>
        <v>10</v>
      </c>
      <c r="F120" s="9" t="n">
        <f aca="false">Cleaned_Prepared_Data!G84</f>
        <v>0.095</v>
      </c>
      <c r="G120" s="9" t="n">
        <f aca="false">Dummy_Variables!D84</f>
        <v>0</v>
      </c>
      <c r="H120" s="9" t="n">
        <f aca="false">Dummy_Variables!E84</f>
        <v>1</v>
      </c>
      <c r="I120" s="9" t="n">
        <f aca="false">Dummy_Variables!F84</f>
        <v>0</v>
      </c>
    </row>
    <row r="121" customFormat="false" ht="15" hidden="false" customHeight="true" outlineLevel="0" collapsed="false">
      <c r="A121" s="9" t="n">
        <f aca="false">Cleaned_Prepared_Data!M85</f>
        <v>727241.86</v>
      </c>
      <c r="B121" s="9" t="n">
        <f aca="false">Cleaned_Prepared_Data!F85</f>
        <v>4644</v>
      </c>
      <c r="C121" s="9" t="n">
        <f aca="false">Cleaned_Prepared_Data!E85</f>
        <v>72731.14</v>
      </c>
      <c r="D121" s="9" t="n">
        <f aca="false">Cleaned_Prepared_Data!I85</f>
        <v>87.1</v>
      </c>
      <c r="E121" s="9" t="n">
        <f aca="false">Cleaned_Prepared_Data!H85</f>
        <v>15</v>
      </c>
      <c r="F121" s="9" t="n">
        <f aca="false">Cleaned_Prepared_Data!G85</f>
        <v>0.084</v>
      </c>
      <c r="G121" s="9" t="n">
        <f aca="false">Dummy_Variables!D85</f>
        <v>0</v>
      </c>
      <c r="H121" s="9" t="n">
        <f aca="false">Dummy_Variables!E85</f>
        <v>1</v>
      </c>
      <c r="I121" s="9" t="n">
        <f aca="false">Dummy_Variables!F85</f>
        <v>0</v>
      </c>
    </row>
    <row r="122" customFormat="false" ht="15" hidden="false" customHeight="true" outlineLevel="0" collapsed="false">
      <c r="A122" s="9" t="n">
        <f aca="false">Cleaned_Prepared_Data!M86</f>
        <v>569100.78</v>
      </c>
      <c r="B122" s="9" t="n">
        <f aca="false">Cleaned_Prepared_Data!F86</f>
        <v>3559</v>
      </c>
      <c r="C122" s="9" t="n">
        <f aca="false">Cleaned_Prepared_Data!E86</f>
        <v>36475.71</v>
      </c>
      <c r="D122" s="9" t="n">
        <f aca="false">Cleaned_Prepared_Data!I86</f>
        <v>83.6</v>
      </c>
      <c r="E122" s="9" t="n">
        <f aca="false">Cleaned_Prepared_Data!H86</f>
        <v>8</v>
      </c>
      <c r="F122" s="9" t="n">
        <f aca="false">Cleaned_Prepared_Data!G86</f>
        <v>0.03</v>
      </c>
      <c r="G122" s="9" t="n">
        <f aca="false">Dummy_Variables!D86</f>
        <v>0</v>
      </c>
      <c r="H122" s="9" t="n">
        <f aca="false">Dummy_Variables!E86</f>
        <v>1</v>
      </c>
      <c r="I122" s="9" t="n">
        <f aca="false">Dummy_Variables!F86</f>
        <v>0</v>
      </c>
    </row>
    <row r="123" customFormat="false" ht="15" hidden="false" customHeight="true" outlineLevel="0" collapsed="false">
      <c r="A123" s="9" t="n">
        <f aca="false">Cleaned_Prepared_Data!M87</f>
        <v>574436.29</v>
      </c>
      <c r="B123" s="9" t="n">
        <f aca="false">Cleaned_Prepared_Data!F87</f>
        <v>3091</v>
      </c>
      <c r="C123" s="9" t="n">
        <f aca="false">Cleaned_Prepared_Data!E87</f>
        <v>55388.11</v>
      </c>
      <c r="D123" s="9" t="n">
        <f aca="false">Cleaned_Prepared_Data!I87</f>
        <v>85.4</v>
      </c>
      <c r="E123" s="9" t="n">
        <f aca="false">Cleaned_Prepared_Data!H87</f>
        <v>7</v>
      </c>
      <c r="F123" s="9" t="n">
        <f aca="false">Cleaned_Prepared_Data!G87</f>
        <v>0.108</v>
      </c>
      <c r="G123" s="9" t="n">
        <f aca="false">Dummy_Variables!D87</f>
        <v>0</v>
      </c>
      <c r="H123" s="9" t="n">
        <f aca="false">Dummy_Variables!E87</f>
        <v>0</v>
      </c>
      <c r="I123" s="9" t="n">
        <f aca="false">Dummy_Variables!F87</f>
        <v>0</v>
      </c>
    </row>
    <row r="124" customFormat="false" ht="15" hidden="false" customHeight="true" outlineLevel="0" collapsed="false">
      <c r="A124" s="9" t="n">
        <f aca="false">Cleaned_Prepared_Data!M88</f>
        <v>614596.32</v>
      </c>
      <c r="B124" s="9" t="n">
        <f aca="false">Cleaned_Prepared_Data!F88</f>
        <v>3788</v>
      </c>
      <c r="C124" s="9" t="n">
        <f aca="false">Cleaned_Prepared_Data!E88</f>
        <v>78231.91</v>
      </c>
      <c r="D124" s="9" t="n">
        <f aca="false">Cleaned_Prepared_Data!I88</f>
        <v>88.5</v>
      </c>
      <c r="E124" s="9" t="n">
        <f aca="false">Cleaned_Prepared_Data!H88</f>
        <v>11</v>
      </c>
      <c r="F124" s="9" t="n">
        <f aca="false">Cleaned_Prepared_Data!G88</f>
        <v>0.059</v>
      </c>
      <c r="G124" s="9" t="n">
        <f aca="false">Dummy_Variables!D88</f>
        <v>0</v>
      </c>
      <c r="H124" s="9" t="n">
        <f aca="false">Dummy_Variables!E88</f>
        <v>0</v>
      </c>
      <c r="I124" s="9" t="n">
        <f aca="false">Dummy_Variables!F88</f>
        <v>0</v>
      </c>
    </row>
    <row r="125" customFormat="false" ht="15" hidden="false" customHeight="true" outlineLevel="0" collapsed="false">
      <c r="A125" s="9" t="n">
        <f aca="false">Cleaned_Prepared_Data!M89</f>
        <v>450711.92</v>
      </c>
      <c r="B125" s="9" t="n">
        <f aca="false">Cleaned_Prepared_Data!F89</f>
        <v>1260</v>
      </c>
      <c r="C125" s="9" t="n">
        <f aca="false">Cleaned_Prepared_Data!E89</f>
        <v>18996.32</v>
      </c>
      <c r="D125" s="9" t="n">
        <f aca="false">Cleaned_Prepared_Data!I89</f>
        <v>86.4</v>
      </c>
      <c r="E125" s="9" t="n">
        <f aca="false">Cleaned_Prepared_Data!H89</f>
        <v>9</v>
      </c>
      <c r="F125" s="9" t="n">
        <f aca="false">Cleaned_Prepared_Data!G89</f>
        <v>0.145</v>
      </c>
      <c r="G125" s="9" t="n">
        <f aca="false">Dummy_Variables!D89</f>
        <v>0</v>
      </c>
      <c r="H125" s="9" t="n">
        <f aca="false">Dummy_Variables!E89</f>
        <v>0</v>
      </c>
      <c r="I125" s="9" t="n">
        <f aca="false">Dummy_Variables!F89</f>
        <v>0</v>
      </c>
    </row>
    <row r="126" customFormat="false" ht="15" hidden="false" customHeight="true" outlineLevel="0" collapsed="false">
      <c r="A126" s="9" t="n">
        <f aca="false">Cleaned_Prepared_Data!M90</f>
        <v>711213.46</v>
      </c>
      <c r="B126" s="9" t="n">
        <f aca="false">Cleaned_Prepared_Data!F90</f>
        <v>7024</v>
      </c>
      <c r="C126" s="9" t="n">
        <f aca="false">Cleaned_Prepared_Data!E90</f>
        <v>50517.94</v>
      </c>
      <c r="D126" s="9" t="n">
        <f aca="false">Cleaned_Prepared_Data!I90</f>
        <v>79.2</v>
      </c>
      <c r="E126" s="9" t="n">
        <f aca="false">Cleaned_Prepared_Data!H90</f>
        <v>18</v>
      </c>
      <c r="F126" s="9" t="n">
        <f aca="false">Cleaned_Prepared_Data!G90</f>
        <v>0.029</v>
      </c>
      <c r="G126" s="9" t="n">
        <f aca="false">Dummy_Variables!D90</f>
        <v>0</v>
      </c>
      <c r="H126" s="9" t="n">
        <f aca="false">Dummy_Variables!E90</f>
        <v>1</v>
      </c>
      <c r="I126" s="9" t="n">
        <f aca="false">Dummy_Variables!F90</f>
        <v>0</v>
      </c>
    </row>
    <row r="127" customFormat="false" ht="15" hidden="false" customHeight="true" outlineLevel="0" collapsed="false">
      <c r="A127" s="9" t="n">
        <f aca="false">Cleaned_Prepared_Data!M91</f>
        <v>627171.9</v>
      </c>
      <c r="B127" s="9" t="n">
        <f aca="false">Cleaned_Prepared_Data!F91</f>
        <v>5400</v>
      </c>
      <c r="C127" s="9" t="n">
        <f aca="false">Cleaned_Prepared_Data!E91</f>
        <v>141540.29</v>
      </c>
      <c r="D127" s="9" t="n">
        <f aca="false">Cleaned_Prepared_Data!I91</f>
        <v>87</v>
      </c>
      <c r="E127" s="9" t="n">
        <f aca="false">Cleaned_Prepared_Data!H91</f>
        <v>12</v>
      </c>
      <c r="F127" s="9" t="n">
        <f aca="false">Cleaned_Prepared_Data!G91</f>
        <v>0.013</v>
      </c>
      <c r="G127" s="9" t="n">
        <f aca="false">Dummy_Variables!D91</f>
        <v>0</v>
      </c>
      <c r="H127" s="9" t="n">
        <f aca="false">Dummy_Variables!E91</f>
        <v>1</v>
      </c>
      <c r="I127" s="9" t="n">
        <f aca="false">Dummy_Variables!F91</f>
        <v>0</v>
      </c>
    </row>
    <row r="128" customFormat="false" ht="15" hidden="false" customHeight="true" outlineLevel="0" collapsed="false">
      <c r="A128" s="9" t="n">
        <f aca="false">Cleaned_Prepared_Data!M92</f>
        <v>739852.58</v>
      </c>
      <c r="B128" s="9" t="n">
        <f aca="false">Cleaned_Prepared_Data!F92</f>
        <v>5988</v>
      </c>
      <c r="C128" s="9" t="n">
        <f aca="false">Cleaned_Prepared_Data!E92</f>
        <v>82116.19</v>
      </c>
      <c r="D128" s="9" t="n">
        <f aca="false">Cleaned_Prepared_Data!I92</f>
        <v>91.8</v>
      </c>
      <c r="E128" s="9" t="n">
        <f aca="false">Cleaned_Prepared_Data!H92</f>
        <v>17</v>
      </c>
      <c r="F128" s="9" t="n">
        <f aca="false">Cleaned_Prepared_Data!G92</f>
        <v>0.04</v>
      </c>
      <c r="G128" s="9" t="n">
        <f aca="false">Dummy_Variables!D92</f>
        <v>0</v>
      </c>
      <c r="H128" s="9" t="n">
        <f aca="false">Dummy_Variables!E92</f>
        <v>1</v>
      </c>
      <c r="I128" s="9" t="n">
        <f aca="false">Dummy_Variables!F92</f>
        <v>0</v>
      </c>
    </row>
    <row r="129" customFormat="false" ht="15" hidden="false" customHeight="true" outlineLevel="0" collapsed="false">
      <c r="A129" s="9" t="n">
        <f aca="false">Cleaned_Prepared_Data!M93</f>
        <v>586307.22</v>
      </c>
      <c r="B129" s="9" t="n">
        <f aca="false">Cleaned_Prepared_Data!F93</f>
        <v>3701</v>
      </c>
      <c r="C129" s="9" t="n">
        <f aca="false">Cleaned_Prepared_Data!E93</f>
        <v>31207.51</v>
      </c>
      <c r="D129" s="9" t="n">
        <f aca="false">Cleaned_Prepared_Data!I93</f>
        <v>84.7</v>
      </c>
      <c r="E129" s="9" t="n">
        <f aca="false">Cleaned_Prepared_Data!H93</f>
        <v>11</v>
      </c>
      <c r="F129" s="9" t="n">
        <f aca="false">Cleaned_Prepared_Data!G93</f>
        <v>0.043</v>
      </c>
      <c r="G129" s="9" t="n">
        <f aca="false">Dummy_Variables!D93</f>
        <v>0</v>
      </c>
      <c r="H129" s="9" t="n">
        <f aca="false">Dummy_Variables!E93</f>
        <v>1</v>
      </c>
      <c r="I129" s="9" t="n">
        <f aca="false">Dummy_Variables!F93</f>
        <v>0</v>
      </c>
    </row>
    <row r="130" customFormat="false" ht="15" hidden="false" customHeight="true" outlineLevel="0" collapsed="false">
      <c r="A130" s="9" t="n">
        <f aca="false">Cleaned_Prepared_Data!M94</f>
        <v>585937.48</v>
      </c>
      <c r="B130" s="9" t="n">
        <f aca="false">Cleaned_Prepared_Data!F94</f>
        <v>4509</v>
      </c>
      <c r="C130" s="9" t="n">
        <f aca="false">Cleaned_Prepared_Data!E94</f>
        <v>38966.59</v>
      </c>
      <c r="D130" s="9" t="n">
        <f aca="false">Cleaned_Prepared_Data!I94</f>
        <v>91.1</v>
      </c>
      <c r="E130" s="9" t="n">
        <f aca="false">Cleaned_Prepared_Data!H94</f>
        <v>14</v>
      </c>
      <c r="F130" s="9" t="n">
        <f aca="false">Cleaned_Prepared_Data!G94</f>
        <v>0.194</v>
      </c>
      <c r="G130" s="9" t="n">
        <f aca="false">Dummy_Variables!D94</f>
        <v>0</v>
      </c>
      <c r="H130" s="9" t="n">
        <f aca="false">Dummy_Variables!E94</f>
        <v>0</v>
      </c>
      <c r="I130" s="9" t="n">
        <f aca="false">Dummy_Variables!F94</f>
        <v>1</v>
      </c>
    </row>
    <row r="131" customFormat="false" ht="15" hidden="false" customHeight="true" outlineLevel="0" collapsed="false">
      <c r="A131" s="9" t="n">
        <f aca="false">Cleaned_Prepared_Data!M95</f>
        <v>753473.55</v>
      </c>
      <c r="B131" s="9" t="n">
        <f aca="false">Cleaned_Prepared_Data!F95</f>
        <v>6477</v>
      </c>
      <c r="C131" s="9" t="n">
        <f aca="false">Cleaned_Prepared_Data!E95</f>
        <v>67439.3</v>
      </c>
      <c r="D131" s="9" t="n">
        <f aca="false">Cleaned_Prepared_Data!I95</f>
        <v>90.9</v>
      </c>
      <c r="E131" s="9" t="n">
        <f aca="false">Cleaned_Prepared_Data!H95</f>
        <v>16</v>
      </c>
      <c r="F131" s="9" t="n">
        <f aca="false">Cleaned_Prepared_Data!G95</f>
        <v>0</v>
      </c>
      <c r="G131" s="9" t="n">
        <f aca="false">Dummy_Variables!D95</f>
        <v>0</v>
      </c>
      <c r="H131" s="9" t="n">
        <f aca="false">Dummy_Variables!E95</f>
        <v>0</v>
      </c>
      <c r="I131" s="9" t="n">
        <f aca="false">Dummy_Variables!F95</f>
        <v>1</v>
      </c>
    </row>
    <row r="132" customFormat="false" ht="15" hidden="false" customHeight="true" outlineLevel="0" collapsed="false">
      <c r="A132" s="9" t="n">
        <f aca="false">Cleaned_Prepared_Data!M96</f>
        <v>838250.32</v>
      </c>
      <c r="B132" s="9" t="n">
        <f aca="false">Cleaned_Prepared_Data!F96</f>
        <v>7970</v>
      </c>
      <c r="C132" s="9" t="n">
        <f aca="false">Cleaned_Prepared_Data!E96</f>
        <v>86421.88</v>
      </c>
      <c r="D132" s="9" t="n">
        <f aca="false">Cleaned_Prepared_Data!I96</f>
        <v>91.3</v>
      </c>
      <c r="E132" s="9" t="n">
        <f aca="false">Cleaned_Prepared_Data!H96</f>
        <v>17</v>
      </c>
      <c r="F132" s="9" t="n">
        <f aca="false">Cleaned_Prepared_Data!G96</f>
        <v>0.073</v>
      </c>
      <c r="G132" s="9" t="n">
        <f aca="false">Dummy_Variables!D96</f>
        <v>0</v>
      </c>
      <c r="H132" s="9" t="n">
        <f aca="false">Dummy_Variables!E96</f>
        <v>0</v>
      </c>
      <c r="I132" s="9" t="n">
        <f aca="false">Dummy_Variables!F96</f>
        <v>1</v>
      </c>
    </row>
    <row r="133" customFormat="false" ht="15" hidden="false" customHeight="true" outlineLevel="0" collapsed="false">
      <c r="A133" s="9" t="n">
        <f aca="false">Cleaned_Prepared_Data!M97</f>
        <v>607898.12</v>
      </c>
      <c r="B133" s="9" t="n">
        <f aca="false">Cleaned_Prepared_Data!F97</f>
        <v>6057</v>
      </c>
      <c r="C133" s="9" t="n">
        <f aca="false">Cleaned_Prepared_Data!E97</f>
        <v>9534.65</v>
      </c>
      <c r="D133" s="9" t="n">
        <f aca="false">Cleaned_Prepared_Data!I97</f>
        <v>94.1</v>
      </c>
      <c r="E133" s="9" t="n">
        <f aca="false">Cleaned_Prepared_Data!H97</f>
        <v>15</v>
      </c>
      <c r="F133" s="9" t="n">
        <f aca="false">Cleaned_Prepared_Data!G97</f>
        <v>0.074</v>
      </c>
      <c r="G133" s="9" t="n">
        <f aca="false">Dummy_Variables!D97</f>
        <v>0</v>
      </c>
      <c r="H133" s="9" t="n">
        <f aca="false">Dummy_Variables!E97</f>
        <v>0</v>
      </c>
      <c r="I133" s="9" t="n">
        <f aca="false">Dummy_Variables!F97</f>
        <v>1</v>
      </c>
    </row>
    <row r="134" customFormat="false" ht="15" hidden="false" customHeight="true" outlineLevel="0" collapsed="false">
      <c r="A134" s="9" t="n">
        <f aca="false">Cleaned_Prepared_Data!M98</f>
        <v>691113.62</v>
      </c>
      <c r="B134" s="9" t="n">
        <f aca="false">Cleaned_Prepared_Data!F98</f>
        <v>6394</v>
      </c>
      <c r="C134" s="9" t="n">
        <f aca="false">Cleaned_Prepared_Data!E98</f>
        <v>61132.07</v>
      </c>
      <c r="D134" s="9" t="n">
        <f aca="false">Cleaned_Prepared_Data!I98</f>
        <v>91</v>
      </c>
      <c r="E134" s="9" t="n">
        <f aca="false">Cleaned_Prepared_Data!H98</f>
        <v>19</v>
      </c>
      <c r="F134" s="9" t="n">
        <f aca="false">Cleaned_Prepared_Data!G98</f>
        <v>0.163</v>
      </c>
      <c r="G134" s="9" t="n">
        <f aca="false">Dummy_Variables!D98</f>
        <v>0</v>
      </c>
      <c r="H134" s="9" t="n">
        <f aca="false">Dummy_Variables!E98</f>
        <v>1</v>
      </c>
      <c r="I134" s="9" t="n">
        <f aca="false">Dummy_Variables!F98</f>
        <v>0</v>
      </c>
    </row>
    <row r="135" customFormat="false" ht="15" hidden="false" customHeight="true" outlineLevel="0" collapsed="false">
      <c r="A135" s="9" t="n">
        <f aca="false">Cleaned_Prepared_Data!M99</f>
        <v>735509.4</v>
      </c>
      <c r="B135" s="9" t="n">
        <f aca="false">Cleaned_Prepared_Data!F99</f>
        <v>5150</v>
      </c>
      <c r="C135" s="9" t="n">
        <f aca="false">Cleaned_Prepared_Data!E99</f>
        <v>78839.39</v>
      </c>
      <c r="D135" s="9" t="n">
        <f aca="false">Cleaned_Prepared_Data!I99</f>
        <v>85.8</v>
      </c>
      <c r="E135" s="9" t="n">
        <f aca="false">Cleaned_Prepared_Data!H99</f>
        <v>13</v>
      </c>
      <c r="F135" s="9" t="n">
        <f aca="false">Cleaned_Prepared_Data!G99</f>
        <v>0.171</v>
      </c>
      <c r="G135" s="9" t="n">
        <f aca="false">Dummy_Variables!D99</f>
        <v>0</v>
      </c>
      <c r="H135" s="9" t="n">
        <f aca="false">Dummy_Variables!E99</f>
        <v>1</v>
      </c>
      <c r="I135" s="9" t="n">
        <f aca="false">Dummy_Variables!F99</f>
        <v>0</v>
      </c>
    </row>
    <row r="136" customFormat="false" ht="15" hidden="false" customHeight="true" outlineLevel="0" collapsed="false">
      <c r="A136" s="9" t="n">
        <f aca="false">Cleaned_Prepared_Data!M100</f>
        <v>675177.68</v>
      </c>
      <c r="B136" s="9" t="n">
        <f aca="false">Cleaned_Prepared_Data!F100</f>
        <v>5281</v>
      </c>
      <c r="C136" s="9" t="n">
        <f aca="false">Cleaned_Prepared_Data!E100</f>
        <v>55101.1</v>
      </c>
      <c r="D136" s="9" t="n">
        <f aca="false">Cleaned_Prepared_Data!I100</f>
        <v>91</v>
      </c>
      <c r="E136" s="9" t="n">
        <f aca="false">Cleaned_Prepared_Data!H100</f>
        <v>11</v>
      </c>
      <c r="F136" s="9" t="n">
        <f aca="false">Cleaned_Prepared_Data!G100</f>
        <v>0.189</v>
      </c>
      <c r="G136" s="9" t="n">
        <f aca="false">Dummy_Variables!D100</f>
        <v>0</v>
      </c>
      <c r="H136" s="9" t="n">
        <f aca="false">Dummy_Variables!E100</f>
        <v>1</v>
      </c>
      <c r="I136" s="9" t="n">
        <f aca="false">Dummy_Variables!F100</f>
        <v>0</v>
      </c>
    </row>
    <row r="137" customFormat="false" ht="15" hidden="false" customHeight="true" outlineLevel="0" collapsed="false">
      <c r="A137" s="9" t="n">
        <f aca="false">Cleaned_Prepared_Data!M101</f>
        <v>635181.35</v>
      </c>
      <c r="B137" s="9" t="n">
        <f aca="false">Cleaned_Prepared_Data!F101</f>
        <v>3642</v>
      </c>
      <c r="C137" s="9" t="n">
        <f aca="false">Cleaned_Prepared_Data!E101</f>
        <v>53084.76</v>
      </c>
      <c r="D137" s="9" t="n">
        <f aca="false">Cleaned_Prepared_Data!I101</f>
        <v>91.4</v>
      </c>
      <c r="E137" s="9" t="n">
        <f aca="false">Cleaned_Prepared_Data!H101</f>
        <v>12</v>
      </c>
      <c r="F137" s="9" t="n">
        <f aca="false">Cleaned_Prepared_Data!G101</f>
        <v>0.15</v>
      </c>
      <c r="G137" s="9" t="n">
        <f aca="false">Dummy_Variables!D101</f>
        <v>0</v>
      </c>
      <c r="H137" s="9" t="n">
        <f aca="false">Dummy_Variables!E101</f>
        <v>1</v>
      </c>
      <c r="I137" s="9" t="n">
        <f aca="false">Dummy_Variables!F101</f>
        <v>0</v>
      </c>
    </row>
    <row r="138" customFormat="false" ht="15" hidden="false" customHeight="true" outlineLevel="0" collapsed="false">
      <c r="A138" s="9" t="n">
        <f aca="false">Cleaned_Prepared_Data!M102</f>
        <v>586626.94</v>
      </c>
      <c r="B138" s="9" t="n">
        <f aca="false">Cleaned_Prepared_Data!F102</f>
        <v>4373</v>
      </c>
      <c r="C138" s="9" t="n">
        <f aca="false">Cleaned_Prepared_Data!E102</f>
        <v>63101.59</v>
      </c>
      <c r="D138" s="9" t="n">
        <f aca="false">Cleaned_Prepared_Data!I102</f>
        <v>90.4</v>
      </c>
      <c r="E138" s="9" t="n">
        <f aca="false">Cleaned_Prepared_Data!H102</f>
        <v>14</v>
      </c>
      <c r="F138" s="9" t="n">
        <f aca="false">Cleaned_Prepared_Data!G102</f>
        <v>0.173</v>
      </c>
      <c r="G138" s="9" t="n">
        <f aca="false">Dummy_Variables!D102</f>
        <v>0</v>
      </c>
      <c r="H138" s="9" t="n">
        <f aca="false">Dummy_Variables!E102</f>
        <v>1</v>
      </c>
      <c r="I138" s="9" t="n">
        <f aca="false">Dummy_Variables!F102</f>
        <v>0</v>
      </c>
    </row>
    <row r="139" customFormat="false" ht="15" hidden="false" customHeight="true" outlineLevel="0" collapsed="false">
      <c r="A139" s="9" t="n">
        <f aca="false">Cleaned_Prepared_Data!M103</f>
        <v>740102.64</v>
      </c>
      <c r="B139" s="9" t="n">
        <f aca="false">Cleaned_Prepared_Data!F103</f>
        <v>6832</v>
      </c>
      <c r="C139" s="9" t="n">
        <f aca="false">Cleaned_Prepared_Data!E103</f>
        <v>90084.4</v>
      </c>
      <c r="D139" s="9" t="n">
        <f aca="false">Cleaned_Prepared_Data!I103</f>
        <v>80.5</v>
      </c>
      <c r="E139" s="9" t="n">
        <f aca="false">Cleaned_Prepared_Data!H103</f>
        <v>14</v>
      </c>
      <c r="F139" s="9" t="n">
        <f aca="false">Cleaned_Prepared_Data!G103</f>
        <v>0.185</v>
      </c>
      <c r="G139" s="9" t="n">
        <f aca="false">Dummy_Variables!D103</f>
        <v>0</v>
      </c>
      <c r="H139" s="9" t="n">
        <f aca="false">Dummy_Variables!E103</f>
        <v>1</v>
      </c>
      <c r="I139" s="9" t="n">
        <f aca="false">Dummy_Variables!F103</f>
        <v>0</v>
      </c>
    </row>
    <row r="140" customFormat="false" ht="15" hidden="false" customHeight="true" outlineLevel="0" collapsed="false">
      <c r="A140" s="9" t="n">
        <f aca="false">Cleaned_Prepared_Data!M104</f>
        <v>625514.04</v>
      </c>
      <c r="B140" s="9" t="n">
        <f aca="false">Cleaned_Prepared_Data!F104</f>
        <v>2414</v>
      </c>
      <c r="C140" s="9" t="n">
        <f aca="false">Cleaned_Prepared_Data!E104</f>
        <v>32266.64</v>
      </c>
      <c r="D140" s="9" t="n">
        <f aca="false">Cleaned_Prepared_Data!I104</f>
        <v>92.1</v>
      </c>
      <c r="E140" s="9" t="n">
        <f aca="false">Cleaned_Prepared_Data!H104</f>
        <v>7</v>
      </c>
      <c r="F140" s="9" t="n">
        <f aca="false">Cleaned_Prepared_Data!G104</f>
        <v>0.08</v>
      </c>
      <c r="G140" s="9" t="n">
        <f aca="false">Dummy_Variables!D104</f>
        <v>0</v>
      </c>
      <c r="H140" s="9" t="n">
        <f aca="false">Dummy_Variables!E104</f>
        <v>1</v>
      </c>
      <c r="I140" s="9" t="n">
        <f aca="false">Dummy_Variables!F104</f>
        <v>0</v>
      </c>
    </row>
    <row r="141" customFormat="false" ht="15" hidden="false" customHeight="true" outlineLevel="0" collapsed="false">
      <c r="A141" s="9" t="n">
        <f aca="false">Cleaned_Prepared_Data!M105</f>
        <v>727227.2</v>
      </c>
      <c r="B141" s="9" t="n">
        <f aca="false">Cleaned_Prepared_Data!F105</f>
        <v>7374</v>
      </c>
      <c r="C141" s="9" t="n">
        <f aca="false">Cleaned_Prepared_Data!E105</f>
        <v>57919.07</v>
      </c>
      <c r="D141" s="9" t="n">
        <f aca="false">Cleaned_Prepared_Data!I105</f>
        <v>82.3</v>
      </c>
      <c r="E141" s="9" t="n">
        <f aca="false">Cleaned_Prepared_Data!H105</f>
        <v>21</v>
      </c>
      <c r="F141" s="9" t="n">
        <f aca="false">Cleaned_Prepared_Data!G105</f>
        <v>0.103</v>
      </c>
      <c r="G141" s="9" t="n">
        <f aca="false">Dummy_Variables!D105</f>
        <v>0</v>
      </c>
      <c r="H141" s="9" t="n">
        <f aca="false">Dummy_Variables!E105</f>
        <v>0</v>
      </c>
      <c r="I141" s="9" t="n">
        <f aca="false">Dummy_Variables!F105</f>
        <v>0</v>
      </c>
    </row>
    <row r="142" customFormat="false" ht="15" hidden="false" customHeight="true" outlineLevel="0" collapsed="false">
      <c r="A142" s="9" t="n">
        <f aca="false">Cleaned_Prepared_Data!M106</f>
        <v>783797.89</v>
      </c>
      <c r="B142" s="9" t="n">
        <f aca="false">Cleaned_Prepared_Data!F106</f>
        <v>8739</v>
      </c>
      <c r="C142" s="9" t="n">
        <f aca="false">Cleaned_Prepared_Data!E106</f>
        <v>74679.35</v>
      </c>
      <c r="D142" s="9" t="n">
        <f aca="false">Cleaned_Prepared_Data!I106</f>
        <v>91.8</v>
      </c>
      <c r="E142" s="9" t="n">
        <f aca="false">Cleaned_Prepared_Data!H106</f>
        <v>21</v>
      </c>
      <c r="F142" s="9" t="n">
        <f aca="false">Cleaned_Prepared_Data!G106</f>
        <v>0.056</v>
      </c>
      <c r="G142" s="9" t="n">
        <f aca="false">Dummy_Variables!D106</f>
        <v>0</v>
      </c>
      <c r="H142" s="9" t="n">
        <f aca="false">Dummy_Variables!E106</f>
        <v>0</v>
      </c>
      <c r="I142" s="9" t="n">
        <f aca="false">Dummy_Variables!F106</f>
        <v>0</v>
      </c>
    </row>
    <row r="143" customFormat="false" ht="15" hidden="false" customHeight="true" outlineLevel="0" collapsed="false">
      <c r="A143" s="9" t="n">
        <f aca="false">Cleaned_Prepared_Data!M107</f>
        <v>795153.84</v>
      </c>
      <c r="B143" s="9" t="n">
        <f aca="false">Cleaned_Prepared_Data!F107</f>
        <v>6992</v>
      </c>
      <c r="C143" s="9" t="n">
        <f aca="false">Cleaned_Prepared_Data!E107</f>
        <v>64294.23</v>
      </c>
      <c r="D143" s="9" t="n">
        <f aca="false">Cleaned_Prepared_Data!I107</f>
        <v>94.1</v>
      </c>
      <c r="E143" s="9" t="n">
        <f aca="false">Cleaned_Prepared_Data!H107</f>
        <v>14</v>
      </c>
      <c r="F143" s="9" t="n">
        <f aca="false">Cleaned_Prepared_Data!G107</f>
        <v>0.133</v>
      </c>
      <c r="G143" s="9" t="n">
        <f aca="false">Dummy_Variables!D107</f>
        <v>0</v>
      </c>
      <c r="H143" s="9" t="n">
        <f aca="false">Dummy_Variables!E107</f>
        <v>0</v>
      </c>
      <c r="I143" s="9" t="n">
        <f aca="false">Dummy_Variables!F107</f>
        <v>0</v>
      </c>
    </row>
    <row r="144" customFormat="false" ht="15" hidden="false" customHeight="true" outlineLevel="0" collapsed="false">
      <c r="A144" s="9" t="n">
        <f aca="false">Cleaned_Prepared_Data!M108</f>
        <v>665594.94</v>
      </c>
      <c r="B144" s="9" t="n">
        <f aca="false">Cleaned_Prepared_Data!F108</f>
        <v>7107</v>
      </c>
      <c r="C144" s="9" t="n">
        <f aca="false">Cleaned_Prepared_Data!E108</f>
        <v>31042.03</v>
      </c>
      <c r="D144" s="9" t="n">
        <f aca="false">Cleaned_Prepared_Data!I108</f>
        <v>87</v>
      </c>
      <c r="E144" s="9" t="n">
        <f aca="false">Cleaned_Prepared_Data!H108</f>
        <v>15</v>
      </c>
      <c r="F144" s="9" t="n">
        <f aca="false">Cleaned_Prepared_Data!G108</f>
        <v>0.051</v>
      </c>
      <c r="G144" s="9" t="n">
        <f aca="false">Dummy_Variables!D108</f>
        <v>0</v>
      </c>
      <c r="H144" s="9" t="n">
        <f aca="false">Dummy_Variables!E108</f>
        <v>0</v>
      </c>
      <c r="I144" s="9" t="n">
        <f aca="false">Dummy_Variables!F108</f>
        <v>0</v>
      </c>
    </row>
    <row r="145" customFormat="false" ht="15" hidden="false" customHeight="true" outlineLevel="0" collapsed="false">
      <c r="A145" s="9" t="n">
        <f aca="false">Cleaned_Prepared_Data!M109</f>
        <v>709478.39</v>
      </c>
      <c r="B145" s="9" t="n">
        <f aca="false">Cleaned_Prepared_Data!F109</f>
        <v>6975</v>
      </c>
      <c r="C145" s="9" t="n">
        <f aca="false">Cleaned_Prepared_Data!E109</f>
        <v>75265.02</v>
      </c>
      <c r="D145" s="9" t="n">
        <f aca="false">Cleaned_Prepared_Data!I109</f>
        <v>73.8</v>
      </c>
      <c r="E145" s="9" t="n">
        <f aca="false">Cleaned_Prepared_Data!H109</f>
        <v>20</v>
      </c>
      <c r="F145" s="9" t="n">
        <f aca="false">Cleaned_Prepared_Data!G109</f>
        <v>0.157</v>
      </c>
      <c r="G145" s="9" t="n">
        <f aca="false">Dummy_Variables!D109</f>
        <v>0</v>
      </c>
      <c r="H145" s="9" t="n">
        <f aca="false">Dummy_Variables!E109</f>
        <v>1</v>
      </c>
      <c r="I145" s="9" t="n">
        <f aca="false">Dummy_Variables!F109</f>
        <v>0</v>
      </c>
    </row>
    <row r="146" customFormat="false" ht="15" hidden="false" customHeight="true" outlineLevel="0" collapsed="false">
      <c r="A146" s="9" t="n">
        <f aca="false">Cleaned_Prepared_Data!M110</f>
        <v>664162.49</v>
      </c>
      <c r="B146" s="9" t="n">
        <f aca="false">Cleaned_Prepared_Data!F110</f>
        <v>5493</v>
      </c>
      <c r="C146" s="9" t="n">
        <f aca="false">Cleaned_Prepared_Data!E110</f>
        <v>69411.7</v>
      </c>
      <c r="D146" s="9" t="n">
        <f aca="false">Cleaned_Prepared_Data!I110</f>
        <v>86.5</v>
      </c>
      <c r="E146" s="9" t="n">
        <f aca="false">Cleaned_Prepared_Data!H110</f>
        <v>13</v>
      </c>
      <c r="F146" s="9" t="n">
        <f aca="false">Cleaned_Prepared_Data!G110</f>
        <v>0.292</v>
      </c>
      <c r="G146" s="9" t="n">
        <f aca="false">Dummy_Variables!D110</f>
        <v>0</v>
      </c>
      <c r="H146" s="9" t="n">
        <f aca="false">Dummy_Variables!E110</f>
        <v>1</v>
      </c>
      <c r="I146" s="9" t="n">
        <f aca="false">Dummy_Variables!F110</f>
        <v>0</v>
      </c>
    </row>
    <row r="147" customFormat="false" ht="15" hidden="false" customHeight="true" outlineLevel="0" collapsed="false">
      <c r="A147" s="9" t="n">
        <f aca="false">Cleaned_Prepared_Data!M111</f>
        <v>633494.21</v>
      </c>
      <c r="B147" s="9" t="n">
        <f aca="false">Cleaned_Prepared_Data!F111</f>
        <v>5686</v>
      </c>
      <c r="C147" s="9" t="n">
        <f aca="false">Cleaned_Prepared_Data!E111</f>
        <v>51056.15</v>
      </c>
      <c r="D147" s="9" t="n">
        <f aca="false">Cleaned_Prepared_Data!I111</f>
        <v>89.9</v>
      </c>
      <c r="E147" s="9" t="n">
        <f aca="false">Cleaned_Prepared_Data!H111</f>
        <v>13</v>
      </c>
      <c r="F147" s="9" t="n">
        <f aca="false">Cleaned_Prepared_Data!G111</f>
        <v>0.089</v>
      </c>
      <c r="G147" s="9" t="n">
        <f aca="false">Dummy_Variables!D111</f>
        <v>0</v>
      </c>
      <c r="H147" s="9" t="n">
        <f aca="false">Dummy_Variables!E111</f>
        <v>1</v>
      </c>
      <c r="I147" s="9" t="n">
        <f aca="false">Dummy_Variables!F111</f>
        <v>0</v>
      </c>
    </row>
    <row r="148" customFormat="false" ht="15" hidden="false" customHeight="true" outlineLevel="0" collapsed="false">
      <c r="A148" s="9" t="n">
        <f aca="false">Cleaned_Prepared_Data!M112</f>
        <v>713611.16</v>
      </c>
      <c r="B148" s="9" t="n">
        <f aca="false">Cleaned_Prepared_Data!F112</f>
        <v>4063</v>
      </c>
      <c r="C148" s="9" t="n">
        <f aca="false">Cleaned_Prepared_Data!E112</f>
        <v>52758.01</v>
      </c>
      <c r="D148" s="9" t="n">
        <f aca="false">Cleaned_Prepared_Data!I112</f>
        <v>91.7</v>
      </c>
      <c r="E148" s="9" t="n">
        <f aca="false">Cleaned_Prepared_Data!H112</f>
        <v>12</v>
      </c>
      <c r="F148" s="9" t="n">
        <f aca="false">Cleaned_Prepared_Data!G112</f>
        <v>0.057</v>
      </c>
      <c r="G148" s="9" t="n">
        <f aca="false">Dummy_Variables!D112</f>
        <v>0</v>
      </c>
      <c r="H148" s="9" t="n">
        <f aca="false">Dummy_Variables!E112</f>
        <v>1</v>
      </c>
      <c r="I148" s="9" t="n">
        <f aca="false">Dummy_Variables!F112</f>
        <v>0</v>
      </c>
    </row>
    <row r="149" customFormat="false" ht="15" hidden="false" customHeight="true" outlineLevel="0" collapsed="false">
      <c r="A149" s="9" t="n">
        <f aca="false">Cleaned_Prepared_Data!M113</f>
        <v>778397.97</v>
      </c>
      <c r="B149" s="9" t="n">
        <f aca="false">Cleaned_Prepared_Data!F113</f>
        <v>8966</v>
      </c>
      <c r="C149" s="9" t="n">
        <f aca="false">Cleaned_Prepared_Data!E113</f>
        <v>61426.04</v>
      </c>
      <c r="D149" s="9" t="n">
        <f aca="false">Cleaned_Prepared_Data!I113</f>
        <v>76.4</v>
      </c>
      <c r="E149" s="9" t="n">
        <f aca="false">Cleaned_Prepared_Data!H113</f>
        <v>22</v>
      </c>
      <c r="F149" s="9" t="n">
        <f aca="false">Cleaned_Prepared_Data!G113</f>
        <v>0.173</v>
      </c>
      <c r="G149" s="9" t="n">
        <f aca="false">Dummy_Variables!D113</f>
        <v>0</v>
      </c>
      <c r="H149" s="9" t="n">
        <f aca="false">Dummy_Variables!E113</f>
        <v>1</v>
      </c>
      <c r="I149" s="9" t="n">
        <f aca="false">Dummy_Variables!F113</f>
        <v>0</v>
      </c>
    </row>
    <row r="150" customFormat="false" ht="15" hidden="false" customHeight="true" outlineLevel="0" collapsed="false">
      <c r="A150" s="9" t="n">
        <f aca="false">Cleaned_Prepared_Data!M114</f>
        <v>873380.02</v>
      </c>
      <c r="B150" s="9" t="n">
        <f aca="false">Cleaned_Prepared_Data!F114</f>
        <v>9489</v>
      </c>
      <c r="C150" s="9" t="n">
        <f aca="false">Cleaned_Prepared_Data!E114</f>
        <v>80176.34</v>
      </c>
      <c r="D150" s="9" t="n">
        <f aca="false">Cleaned_Prepared_Data!I114</f>
        <v>94.3</v>
      </c>
      <c r="E150" s="9" t="n">
        <f aca="false">Cleaned_Prepared_Data!H114</f>
        <v>22</v>
      </c>
      <c r="F150" s="9" t="n">
        <f aca="false">Cleaned_Prepared_Data!G114</f>
        <v>0.142</v>
      </c>
      <c r="G150" s="9" t="n">
        <f aca="false">Dummy_Variables!D114</f>
        <v>0</v>
      </c>
      <c r="H150" s="9" t="n">
        <f aca="false">Dummy_Variables!E114</f>
        <v>1</v>
      </c>
      <c r="I150" s="9" t="n">
        <f aca="false">Dummy_Variables!F114</f>
        <v>0</v>
      </c>
    </row>
    <row r="151" customFormat="false" ht="15" hidden="false" customHeight="true" outlineLevel="0" collapsed="false">
      <c r="A151" s="9" t="n">
        <f aca="false">Cleaned_Prepared_Data!M115</f>
        <v>697287.9</v>
      </c>
      <c r="B151" s="9" t="n">
        <f aca="false">Cleaned_Prepared_Data!F115</f>
        <v>9225</v>
      </c>
      <c r="C151" s="9" t="n">
        <f aca="false">Cleaned_Prepared_Data!E115</f>
        <v>33605.18</v>
      </c>
      <c r="D151" s="9" t="n">
        <f aca="false">Cleaned_Prepared_Data!I115</f>
        <v>88.4</v>
      </c>
      <c r="E151" s="9" t="n">
        <f aca="false">Cleaned_Prepared_Data!H115</f>
        <v>23</v>
      </c>
      <c r="F151" s="9" t="n">
        <f aca="false">Cleaned_Prepared_Data!G115</f>
        <v>0.159</v>
      </c>
      <c r="G151" s="9" t="n">
        <f aca="false">Dummy_Variables!D115</f>
        <v>0</v>
      </c>
      <c r="H151" s="9" t="n">
        <f aca="false">Dummy_Variables!E115</f>
        <v>1</v>
      </c>
      <c r="I151" s="9" t="n">
        <f aca="false">Dummy_Variables!F115</f>
        <v>0</v>
      </c>
    </row>
    <row r="152" customFormat="false" ht="15" hidden="false" customHeight="true" outlineLevel="0" collapsed="false">
      <c r="A152" s="9" t="n">
        <f aca="false">Cleaned_Prepared_Data!M116</f>
        <v>718074.79</v>
      </c>
      <c r="B152" s="9" t="n">
        <f aca="false">Cleaned_Prepared_Data!F116</f>
        <v>9249</v>
      </c>
      <c r="C152" s="9" t="n">
        <f aca="false">Cleaned_Prepared_Data!E116</f>
        <v>25990.54</v>
      </c>
      <c r="D152" s="9" t="n">
        <f aca="false">Cleaned_Prepared_Data!I116</f>
        <v>92.5</v>
      </c>
      <c r="E152" s="9" t="n">
        <f aca="false">Cleaned_Prepared_Data!H116</f>
        <v>23</v>
      </c>
      <c r="F152" s="9" t="n">
        <f aca="false">Cleaned_Prepared_Data!G116</f>
        <v>0.139</v>
      </c>
      <c r="G152" s="9" t="n">
        <f aca="false">Dummy_Variables!D116</f>
        <v>0</v>
      </c>
      <c r="H152" s="9" t="n">
        <f aca="false">Dummy_Variables!E116</f>
        <v>1</v>
      </c>
      <c r="I152" s="9" t="n">
        <f aca="false">Dummy_Variables!F116</f>
        <v>0</v>
      </c>
    </row>
    <row r="153" customFormat="false" ht="15" hidden="false" customHeight="true" outlineLevel="0" collapsed="false">
      <c r="A153" s="9" t="n">
        <f aca="false">Cleaned_Prepared_Data!M117</f>
        <v>714942.43</v>
      </c>
      <c r="B153" s="9" t="n">
        <f aca="false">Cleaned_Prepared_Data!F117</f>
        <v>7821</v>
      </c>
      <c r="C153" s="9" t="n">
        <f aca="false">Cleaned_Prepared_Data!E117</f>
        <v>43685.14</v>
      </c>
      <c r="D153" s="9" t="n">
        <f aca="false">Cleaned_Prepared_Data!I117</f>
        <v>91</v>
      </c>
      <c r="E153" s="9" t="n">
        <f aca="false">Cleaned_Prepared_Data!H117</f>
        <v>17</v>
      </c>
      <c r="F153" s="9" t="n">
        <f aca="false">Cleaned_Prepared_Data!G117</f>
        <v>0.19</v>
      </c>
      <c r="G153" s="9" t="n">
        <f aca="false">Dummy_Variables!D117</f>
        <v>0</v>
      </c>
      <c r="H153" s="9" t="n">
        <f aca="false">Dummy_Variables!E117</f>
        <v>0</v>
      </c>
      <c r="I153" s="9" t="n">
        <f aca="false">Dummy_Variables!F117</f>
        <v>1</v>
      </c>
    </row>
    <row r="154" customFormat="false" ht="15" hidden="false" customHeight="true" outlineLevel="0" collapsed="false">
      <c r="A154" s="9" t="n">
        <f aca="false">Cleaned_Prepared_Data!M118</f>
        <v>820519.04</v>
      </c>
      <c r="B154" s="9" t="n">
        <f aca="false">Cleaned_Prepared_Data!F118</f>
        <v>8434</v>
      </c>
      <c r="C154" s="9" t="n">
        <f aca="false">Cleaned_Prepared_Data!E118</f>
        <v>57360.01</v>
      </c>
      <c r="D154" s="9" t="n">
        <f aca="false">Cleaned_Prepared_Data!I118</f>
        <v>84.1</v>
      </c>
      <c r="E154" s="9" t="n">
        <f aca="false">Cleaned_Prepared_Data!H118</f>
        <v>19</v>
      </c>
      <c r="F154" s="9" t="n">
        <f aca="false">Cleaned_Prepared_Data!G118</f>
        <v>0.151</v>
      </c>
      <c r="G154" s="9" t="n">
        <f aca="false">Dummy_Variables!D118</f>
        <v>0</v>
      </c>
      <c r="H154" s="9" t="n">
        <f aca="false">Dummy_Variables!E118</f>
        <v>0</v>
      </c>
      <c r="I154" s="9" t="n">
        <f aca="false">Dummy_Variables!F118</f>
        <v>1</v>
      </c>
    </row>
    <row r="155" customFormat="false" ht="15" hidden="false" customHeight="true" outlineLevel="0" collapsed="false">
      <c r="A155" s="9" t="n">
        <f aca="false">Cleaned_Prepared_Data!M119</f>
        <v>684217.32</v>
      </c>
      <c r="B155" s="9" t="n">
        <f aca="false">Cleaned_Prepared_Data!F119</f>
        <v>8512</v>
      </c>
      <c r="C155" s="9" t="n">
        <f aca="false">Cleaned_Prepared_Data!E119</f>
        <v>42415.47</v>
      </c>
      <c r="D155" s="9" t="n">
        <f aca="false">Cleaned_Prepared_Data!I119</f>
        <v>96.8</v>
      </c>
      <c r="E155" s="9" t="n">
        <f aca="false">Cleaned_Prepared_Data!H119</f>
        <v>18</v>
      </c>
      <c r="F155" s="9" t="n">
        <f aca="false">Cleaned_Prepared_Data!G119</f>
        <v>0.133</v>
      </c>
      <c r="G155" s="9" t="n">
        <f aca="false">Dummy_Variables!D119</f>
        <v>0</v>
      </c>
      <c r="H155" s="9" t="n">
        <f aca="false">Dummy_Variables!E119</f>
        <v>0</v>
      </c>
      <c r="I155" s="9" t="n">
        <f aca="false">Dummy_Variables!F119</f>
        <v>1</v>
      </c>
    </row>
    <row r="156" customFormat="false" ht="15" hidden="false" customHeight="true" outlineLevel="0" collapsed="false">
      <c r="A156" s="9" t="n">
        <f aca="false">Cleaned_Prepared_Data!M120</f>
        <v>735480.19</v>
      </c>
      <c r="B156" s="9" t="n">
        <f aca="false">Cleaned_Prepared_Data!F120</f>
        <v>7816</v>
      </c>
      <c r="C156" s="9" t="n">
        <f aca="false">Cleaned_Prepared_Data!E120</f>
        <v>54968.98</v>
      </c>
      <c r="D156" s="9" t="n">
        <f aca="false">Cleaned_Prepared_Data!I120</f>
        <v>95.7</v>
      </c>
      <c r="E156" s="9" t="n">
        <f aca="false">Cleaned_Prepared_Data!H120</f>
        <v>19</v>
      </c>
      <c r="F156" s="9" t="n">
        <f aca="false">Cleaned_Prepared_Data!G120</f>
        <v>0.232</v>
      </c>
      <c r="G156" s="9" t="n">
        <f aca="false">Dummy_Variables!D120</f>
        <v>0</v>
      </c>
      <c r="H156" s="9" t="n">
        <f aca="false">Dummy_Variables!E120</f>
        <v>0</v>
      </c>
      <c r="I156" s="9" t="n">
        <f aca="false">Dummy_Variables!F120</f>
        <v>1</v>
      </c>
    </row>
    <row r="157" customFormat="false" ht="15" hidden="false" customHeight="true" outlineLevel="0" collapsed="false">
      <c r="A157" s="9" t="n">
        <f aca="false">Cleaned_Prepared_Data!M121</f>
        <v>509484.81</v>
      </c>
      <c r="B157" s="9" t="n">
        <f aca="false">Cleaned_Prepared_Data!F121</f>
        <v>3853</v>
      </c>
      <c r="C157" s="9" t="n">
        <f aca="false">Cleaned_Prepared_Data!E121</f>
        <v>43896.13</v>
      </c>
      <c r="D157" s="9" t="n">
        <f aca="false">Cleaned_Prepared_Data!I121</f>
        <v>83</v>
      </c>
      <c r="E157" s="9" t="n">
        <f aca="false">Cleaned_Prepared_Data!H121</f>
        <v>13</v>
      </c>
      <c r="F157" s="9" t="n">
        <f aca="false">Cleaned_Prepared_Data!G121</f>
        <v>0.088</v>
      </c>
      <c r="G157" s="9" t="n">
        <f aca="false">Dummy_Variables!D121</f>
        <v>0</v>
      </c>
      <c r="H157" s="9" t="n">
        <f aca="false">Dummy_Variables!E121</f>
        <v>0</v>
      </c>
      <c r="I157" s="9" t="n">
        <f aca="false">Dummy_Variables!F121</f>
        <v>0</v>
      </c>
    </row>
    <row r="158" customFormat="false" ht="15" hidden="false" customHeight="true" outlineLevel="0" collapsed="false">
      <c r="A158" s="9" t="n">
        <f aca="false">Cleaned_Prepared_Data!M122</f>
        <v>654317.09</v>
      </c>
      <c r="B158" s="9" t="n">
        <f aca="false">Cleaned_Prepared_Data!F122</f>
        <v>3694</v>
      </c>
      <c r="C158" s="9" t="n">
        <f aca="false">Cleaned_Prepared_Data!E122</f>
        <v>83044.17</v>
      </c>
      <c r="D158" s="9" t="n">
        <f aca="false">Cleaned_Prepared_Data!I122</f>
        <v>89.4</v>
      </c>
      <c r="E158" s="9" t="n">
        <f aca="false">Cleaned_Prepared_Data!H122</f>
        <v>14</v>
      </c>
      <c r="F158" s="9" t="n">
        <f aca="false">Cleaned_Prepared_Data!G122</f>
        <v>0</v>
      </c>
      <c r="G158" s="9" t="n">
        <f aca="false">Dummy_Variables!D122</f>
        <v>0</v>
      </c>
      <c r="H158" s="9" t="n">
        <f aca="false">Dummy_Variables!E122</f>
        <v>0</v>
      </c>
      <c r="I158" s="9" t="n">
        <f aca="false">Dummy_Variables!F122</f>
        <v>0</v>
      </c>
    </row>
    <row r="159" customFormat="false" ht="15" hidden="false" customHeight="true" outlineLevel="0" collapsed="false">
      <c r="A159" s="9" t="n">
        <f aca="false">Cleaned_Prepared_Data!M123</f>
        <v>557487.26</v>
      </c>
      <c r="B159" s="9" t="n">
        <f aca="false">Cleaned_Prepared_Data!F123</f>
        <v>4423</v>
      </c>
      <c r="C159" s="9" t="n">
        <f aca="false">Cleaned_Prepared_Data!E123</f>
        <v>48396.13</v>
      </c>
      <c r="D159" s="9" t="n">
        <f aca="false">Cleaned_Prepared_Data!I123</f>
        <v>85.7</v>
      </c>
      <c r="E159" s="9" t="n">
        <f aca="false">Cleaned_Prepared_Data!H123</f>
        <v>15</v>
      </c>
      <c r="F159" s="9" t="n">
        <f aca="false">Cleaned_Prepared_Data!G123</f>
        <v>0.069</v>
      </c>
      <c r="G159" s="9" t="n">
        <f aca="false">Dummy_Variables!D123</f>
        <v>0</v>
      </c>
      <c r="H159" s="9" t="n">
        <f aca="false">Dummy_Variables!E123</f>
        <v>0</v>
      </c>
      <c r="I159" s="9" t="n">
        <f aca="false">Dummy_Variables!F123</f>
        <v>0</v>
      </c>
    </row>
    <row r="160" customFormat="false" ht="15" hidden="false" customHeight="true" outlineLevel="0" collapsed="false">
      <c r="A160" s="9" t="n">
        <f aca="false">Cleaned_Prepared_Data!M124</f>
        <v>441275.42</v>
      </c>
      <c r="B160" s="9" t="n">
        <f aca="false">Cleaned_Prepared_Data!F124</f>
        <v>1906</v>
      </c>
      <c r="C160" s="9" t="n">
        <f aca="false">Cleaned_Prepared_Data!E124</f>
        <v>19063.48</v>
      </c>
      <c r="D160" s="9" t="n">
        <f aca="false">Cleaned_Prepared_Data!I124</f>
        <v>97.8</v>
      </c>
      <c r="E160" s="9" t="n">
        <f aca="false">Cleaned_Prepared_Data!H124</f>
        <v>10</v>
      </c>
      <c r="F160" s="9" t="n">
        <f aca="false">Cleaned_Prepared_Data!G124</f>
        <v>0.216</v>
      </c>
      <c r="G160" s="9" t="n">
        <f aca="false">Dummy_Variables!D124</f>
        <v>0</v>
      </c>
      <c r="H160" s="9" t="n">
        <f aca="false">Dummy_Variables!E124</f>
        <v>0</v>
      </c>
      <c r="I160" s="9" t="n">
        <f aca="false">Dummy_Variables!F124</f>
        <v>0</v>
      </c>
    </row>
    <row r="161" customFormat="false" ht="15" hidden="false" customHeight="true" outlineLevel="0" collapsed="false">
      <c r="A161" s="9" t="n">
        <f aca="false">Cleaned_Prepared_Data!M125</f>
        <v>914544.17</v>
      </c>
      <c r="B161" s="9" t="n">
        <f aca="false">Cleaned_Prepared_Data!F125</f>
        <v>10396</v>
      </c>
      <c r="C161" s="9" t="n">
        <f aca="false">Cleaned_Prepared_Data!E125</f>
        <v>61541.21</v>
      </c>
      <c r="D161" s="9" t="n">
        <f aca="false">Cleaned_Prepared_Data!I125</f>
        <v>88.1</v>
      </c>
      <c r="E161" s="9" t="n">
        <f aca="false">Cleaned_Prepared_Data!H125</f>
        <v>25</v>
      </c>
      <c r="F161" s="9" t="n">
        <f aca="false">Cleaned_Prepared_Data!G125</f>
        <v>0.123</v>
      </c>
      <c r="G161" s="9" t="n">
        <f aca="false">Dummy_Variables!D125</f>
        <v>0</v>
      </c>
      <c r="H161" s="9" t="n">
        <f aca="false">Dummy_Variables!E125</f>
        <v>0</v>
      </c>
      <c r="I161" s="9" t="n">
        <f aca="false">Dummy_Variables!F125</f>
        <v>0</v>
      </c>
    </row>
    <row r="162" customFormat="false" ht="15" hidden="false" customHeight="true" outlineLevel="0" collapsed="false">
      <c r="A162" s="9" t="n">
        <f aca="false">Cleaned_Prepared_Data!M126</f>
        <v>842439.67</v>
      </c>
      <c r="B162" s="9" t="n">
        <f aca="false">Cleaned_Prepared_Data!F126</f>
        <v>11076</v>
      </c>
      <c r="C162" s="9" t="n">
        <f aca="false">Cleaned_Prepared_Data!E126</f>
        <v>44747</v>
      </c>
      <c r="D162" s="9" t="n">
        <f aca="false">Cleaned_Prepared_Data!I126</f>
        <v>98.3</v>
      </c>
      <c r="E162" s="9" t="n">
        <f aca="false">Cleaned_Prepared_Data!H126</f>
        <v>27</v>
      </c>
      <c r="F162" s="9" t="n">
        <f aca="false">Cleaned_Prepared_Data!G126</f>
        <v>0.176</v>
      </c>
      <c r="G162" s="9" t="n">
        <f aca="false">Dummy_Variables!D126</f>
        <v>0</v>
      </c>
      <c r="H162" s="9" t="n">
        <f aca="false">Dummy_Variables!E126</f>
        <v>0</v>
      </c>
      <c r="I162" s="9" t="n">
        <f aca="false">Dummy_Variables!F126</f>
        <v>0</v>
      </c>
    </row>
    <row r="163" customFormat="false" ht="15" hidden="false" customHeight="true" outlineLevel="0" collapsed="false">
      <c r="A163" s="9" t="n">
        <f aca="false">Cleaned_Prepared_Data!M127</f>
        <v>842157.92</v>
      </c>
      <c r="B163" s="9" t="n">
        <f aca="false">Cleaned_Prepared_Data!F127</f>
        <v>9574</v>
      </c>
      <c r="C163" s="9" t="n">
        <f aca="false">Cleaned_Prepared_Data!E127</f>
        <v>56517.9</v>
      </c>
      <c r="D163" s="9" t="n">
        <f aca="false">Cleaned_Prepared_Data!I127</f>
        <v>88.2</v>
      </c>
      <c r="E163" s="9" t="n">
        <f aca="false">Cleaned_Prepared_Data!H127</f>
        <v>20</v>
      </c>
      <c r="F163" s="9" t="n">
        <f aca="false">Cleaned_Prepared_Data!G127</f>
        <v>0.204</v>
      </c>
      <c r="G163" s="9" t="n">
        <f aca="false">Dummy_Variables!D127</f>
        <v>0</v>
      </c>
      <c r="H163" s="9" t="n">
        <f aca="false">Dummy_Variables!E127</f>
        <v>0</v>
      </c>
      <c r="I163" s="9" t="n">
        <f aca="false">Dummy_Variables!F127</f>
        <v>0</v>
      </c>
    </row>
    <row r="164" customFormat="false" ht="15" hidden="false" customHeight="true" outlineLevel="0" collapsed="false">
      <c r="A164" s="9" t="n">
        <f aca="false">Cleaned_Prepared_Data!M128</f>
        <v>697155.3</v>
      </c>
      <c r="B164" s="9" t="n">
        <f aca="false">Cleaned_Prepared_Data!F128</f>
        <v>8221</v>
      </c>
      <c r="C164" s="9" t="n">
        <f aca="false">Cleaned_Prepared_Data!E128</f>
        <v>37828.5</v>
      </c>
      <c r="D164" s="9" t="n">
        <f aca="false">Cleaned_Prepared_Data!I128</f>
        <v>81.5</v>
      </c>
      <c r="E164" s="9" t="n">
        <f aca="false">Cleaned_Prepared_Data!H128</f>
        <v>19</v>
      </c>
      <c r="F164" s="9" t="n">
        <f aca="false">Cleaned_Prepared_Data!G128</f>
        <v>0.096</v>
      </c>
      <c r="G164" s="9" t="n">
        <f aca="false">Dummy_Variables!D128</f>
        <v>0</v>
      </c>
      <c r="H164" s="9" t="n">
        <f aca="false">Dummy_Variables!E128</f>
        <v>0</v>
      </c>
      <c r="I164" s="9" t="n">
        <f aca="false">Dummy_Variables!F128</f>
        <v>0</v>
      </c>
    </row>
    <row r="165" customFormat="false" ht="15" hidden="false" customHeight="true" outlineLevel="0" collapsed="false">
      <c r="A165" s="9" t="n">
        <f aca="false">Cleaned_Prepared_Data!M129</f>
        <v>849018.3</v>
      </c>
      <c r="B165" s="9" t="n">
        <f aca="false">Cleaned_Prepared_Data!F129</f>
        <v>10618</v>
      </c>
      <c r="C165" s="9" t="n">
        <f aca="false">Cleaned_Prepared_Data!E129</f>
        <v>66250.53</v>
      </c>
      <c r="D165" s="9" t="n">
        <f aca="false">Cleaned_Prepared_Data!I129</f>
        <v>88.3</v>
      </c>
      <c r="E165" s="9" t="n">
        <f aca="false">Cleaned_Prepared_Data!H129</f>
        <v>27</v>
      </c>
      <c r="F165" s="9" t="n">
        <f aca="false">Cleaned_Prepared_Data!G129</f>
        <v>0.142</v>
      </c>
      <c r="G165" s="9" t="n">
        <f aca="false">Dummy_Variables!D129</f>
        <v>0</v>
      </c>
      <c r="H165" s="9" t="n">
        <f aca="false">Dummy_Variables!E129</f>
        <v>0</v>
      </c>
      <c r="I165" s="9" t="n">
        <f aca="false">Dummy_Variables!F129</f>
        <v>0</v>
      </c>
    </row>
    <row r="166" customFormat="false" ht="15" hidden="false" customHeight="true" outlineLevel="0" collapsed="false">
      <c r="A166" s="9" t="n">
        <f aca="false">Cleaned_Prepared_Data!M130</f>
        <v>801830.35</v>
      </c>
      <c r="B166" s="9" t="n">
        <f aca="false">Cleaned_Prepared_Data!F130</f>
        <v>10596</v>
      </c>
      <c r="C166" s="9" t="n">
        <f aca="false">Cleaned_Prepared_Data!E130</f>
        <v>68410.93</v>
      </c>
      <c r="D166" s="9" t="n">
        <f aca="false">Cleaned_Prepared_Data!I130</f>
        <v>81.2</v>
      </c>
      <c r="E166" s="9" t="n">
        <f aca="false">Cleaned_Prepared_Data!H130</f>
        <v>25</v>
      </c>
      <c r="F166" s="9" t="n">
        <f aca="false">Cleaned_Prepared_Data!G130</f>
        <v>0.207</v>
      </c>
      <c r="G166" s="9" t="n">
        <f aca="false">Dummy_Variables!D130</f>
        <v>0</v>
      </c>
      <c r="H166" s="9" t="n">
        <f aca="false">Dummy_Variables!E130</f>
        <v>0</v>
      </c>
      <c r="I166" s="9" t="n">
        <f aca="false">Dummy_Variables!F130</f>
        <v>0</v>
      </c>
    </row>
    <row r="167" customFormat="false" ht="15" hidden="false" customHeight="true" outlineLevel="0" collapsed="false">
      <c r="A167" s="9" t="n">
        <f aca="false">Cleaned_Prepared_Data!M131</f>
        <v>725235.28</v>
      </c>
      <c r="B167" s="9" t="n">
        <f aca="false">Cleaned_Prepared_Data!F131</f>
        <v>9619</v>
      </c>
      <c r="C167" s="9" t="n">
        <f aca="false">Cleaned_Prepared_Data!E131</f>
        <v>50735.63</v>
      </c>
      <c r="D167" s="9" t="n">
        <f aca="false">Cleaned_Prepared_Data!I131</f>
        <v>93.8</v>
      </c>
      <c r="E167" s="9" t="n">
        <f aca="false">Cleaned_Prepared_Data!H131</f>
        <v>19</v>
      </c>
      <c r="F167" s="9" t="n">
        <f aca="false">Cleaned_Prepared_Data!G131</f>
        <v>0.144</v>
      </c>
      <c r="G167" s="9" t="n">
        <f aca="false">Dummy_Variables!D131</f>
        <v>0</v>
      </c>
      <c r="H167" s="9" t="n">
        <f aca="false">Dummy_Variables!E131</f>
        <v>0</v>
      </c>
      <c r="I167" s="9" t="n">
        <f aca="false">Dummy_Variables!F131</f>
        <v>0</v>
      </c>
    </row>
    <row r="168" customFormat="false" ht="15" hidden="false" customHeight="true" outlineLevel="0" collapsed="false">
      <c r="A168" s="9" t="n">
        <f aca="false">Cleaned_Prepared_Data!M132</f>
        <v>811452.72</v>
      </c>
      <c r="B168" s="9" t="n">
        <f aca="false">Cleaned_Prepared_Data!F132</f>
        <v>10836</v>
      </c>
      <c r="C168" s="9" t="n">
        <f aca="false">Cleaned_Prepared_Data!E132</f>
        <v>66455.8</v>
      </c>
      <c r="D168" s="9" t="n">
        <f aca="false">Cleaned_Prepared_Data!I132</f>
        <v>85</v>
      </c>
      <c r="E168" s="9" t="n">
        <f aca="false">Cleaned_Prepared_Data!H132</f>
        <v>25</v>
      </c>
      <c r="F168" s="9" t="n">
        <f aca="false">Cleaned_Prepared_Data!G132</f>
        <v>0.089</v>
      </c>
      <c r="G168" s="9" t="n">
        <f aca="false">Dummy_Variables!D132</f>
        <v>0</v>
      </c>
      <c r="H168" s="9" t="n">
        <f aca="false">Dummy_Variables!E132</f>
        <v>0</v>
      </c>
      <c r="I168" s="9" t="n">
        <f aca="false">Dummy_Variables!F132</f>
        <v>0</v>
      </c>
    </row>
    <row r="169" customFormat="false" ht="15" hidden="false" customHeight="true" outlineLevel="0" collapsed="false">
      <c r="A169" s="9" t="n">
        <f aca="false">Cleaned_Prepared_Data!M133</f>
        <v>527300.13</v>
      </c>
      <c r="B169" s="9" t="n">
        <f aca="false">Cleaned_Prepared_Data!F133</f>
        <v>3043</v>
      </c>
      <c r="C169" s="9" t="n">
        <f aca="false">Cleaned_Prepared_Data!E133</f>
        <v>70276.28</v>
      </c>
      <c r="D169" s="9" t="n">
        <f aca="false">Cleaned_Prepared_Data!I133</f>
        <v>87.9</v>
      </c>
      <c r="E169" s="9" t="n">
        <f aca="false">Cleaned_Prepared_Data!H133</f>
        <v>9</v>
      </c>
      <c r="F169" s="9" t="n">
        <f aca="false">Cleaned_Prepared_Data!G133</f>
        <v>0.079</v>
      </c>
      <c r="G169" s="9" t="n">
        <f aca="false">Dummy_Variables!D133</f>
        <v>0</v>
      </c>
      <c r="H169" s="9" t="n">
        <f aca="false">Dummy_Variables!E133</f>
        <v>0</v>
      </c>
      <c r="I169" s="9" t="n">
        <f aca="false">Dummy_Variables!F133</f>
        <v>0</v>
      </c>
    </row>
    <row r="170" customFormat="false" ht="15" hidden="false" customHeight="true" outlineLevel="0" collapsed="false">
      <c r="A170" s="9" t="n">
        <f aca="false">Cleaned_Prepared_Data!M134</f>
        <v>593247.25</v>
      </c>
      <c r="B170" s="9" t="n">
        <f aca="false">Cleaned_Prepared_Data!F134</f>
        <v>3618</v>
      </c>
      <c r="C170" s="9" t="n">
        <f aca="false">Cleaned_Prepared_Data!E134</f>
        <v>52285.45</v>
      </c>
      <c r="D170" s="9" t="n">
        <f aca="false">Cleaned_Prepared_Data!I134</f>
        <v>95.6</v>
      </c>
      <c r="E170" s="9" t="n">
        <f aca="false">Cleaned_Prepared_Data!H134</f>
        <v>11</v>
      </c>
      <c r="F170" s="9" t="n">
        <f aca="false">Cleaned_Prepared_Data!G134</f>
        <v>0.086</v>
      </c>
      <c r="G170" s="9" t="n">
        <f aca="false">Dummy_Variables!D134</f>
        <v>0</v>
      </c>
      <c r="H170" s="9" t="n">
        <f aca="false">Dummy_Variables!E134</f>
        <v>0</v>
      </c>
      <c r="I170" s="9" t="n">
        <f aca="false">Dummy_Variables!F134</f>
        <v>0</v>
      </c>
    </row>
    <row r="171" customFormat="false" ht="15" hidden="false" customHeight="true" outlineLevel="0" collapsed="false">
      <c r="A171" s="9" t="n">
        <f aca="false">Cleaned_Prepared_Data!M135</f>
        <v>529075.95</v>
      </c>
      <c r="B171" s="9" t="n">
        <f aca="false">Cleaned_Prepared_Data!F135</f>
        <v>1963</v>
      </c>
      <c r="C171" s="9" t="n">
        <f aca="false">Cleaned_Prepared_Data!E135</f>
        <v>70366.76</v>
      </c>
      <c r="D171" s="9" t="n">
        <f aca="false">Cleaned_Prepared_Data!I135</f>
        <v>89.8</v>
      </c>
      <c r="E171" s="9" t="n">
        <f aca="false">Cleaned_Prepared_Data!H135</f>
        <v>8</v>
      </c>
      <c r="F171" s="9" t="n">
        <f aca="false">Cleaned_Prepared_Data!G135</f>
        <v>0.182</v>
      </c>
      <c r="G171" s="9" t="n">
        <f aca="false">Dummy_Variables!D135</f>
        <v>0</v>
      </c>
      <c r="H171" s="9" t="n">
        <f aca="false">Dummy_Variables!E135</f>
        <v>0</v>
      </c>
      <c r="I171" s="9" t="n">
        <f aca="false">Dummy_Variables!F135</f>
        <v>0</v>
      </c>
    </row>
    <row r="172" customFormat="false" ht="15" hidden="false" customHeight="true" outlineLevel="0" collapsed="false">
      <c r="A172" s="9" t="n">
        <f aca="false">Cleaned_Prepared_Data!M136</f>
        <v>743348.84</v>
      </c>
      <c r="B172" s="9" t="n">
        <f aca="false">Cleaned_Prepared_Data!F136</f>
        <v>6244</v>
      </c>
      <c r="C172" s="9" t="n">
        <f aca="false">Cleaned_Prepared_Data!E136</f>
        <v>75109.67</v>
      </c>
      <c r="D172" s="9" t="n">
        <f aca="false">Cleaned_Prepared_Data!I136</f>
        <v>96.3</v>
      </c>
      <c r="E172" s="9" t="n">
        <f aca="false">Cleaned_Prepared_Data!H136</f>
        <v>15</v>
      </c>
      <c r="F172" s="9" t="n">
        <f aca="false">Cleaned_Prepared_Data!G136</f>
        <v>0.079</v>
      </c>
      <c r="G172" s="9" t="n">
        <f aca="false">Dummy_Variables!D136</f>
        <v>0</v>
      </c>
      <c r="H172" s="9" t="n">
        <f aca="false">Dummy_Variables!E136</f>
        <v>0</v>
      </c>
      <c r="I172" s="9" t="n">
        <f aca="false">Dummy_Variables!F136</f>
        <v>1</v>
      </c>
    </row>
    <row r="173" customFormat="false" ht="15" hidden="false" customHeight="true" outlineLevel="0" collapsed="false">
      <c r="A173" s="9" t="n">
        <f aca="false">Cleaned_Prepared_Data!M137</f>
        <v>758827.64</v>
      </c>
      <c r="B173" s="9" t="n">
        <f aca="false">Cleaned_Prepared_Data!F137</f>
        <v>6544</v>
      </c>
      <c r="C173" s="9" t="n">
        <f aca="false">Cleaned_Prepared_Data!E137</f>
        <v>69779</v>
      </c>
      <c r="D173" s="9" t="n">
        <f aca="false">Cleaned_Prepared_Data!I137</f>
        <v>90.2</v>
      </c>
      <c r="E173" s="9" t="n">
        <f aca="false">Cleaned_Prepared_Data!H137</f>
        <v>18</v>
      </c>
      <c r="F173" s="9" t="n">
        <f aca="false">Cleaned_Prepared_Data!G137</f>
        <v>0.152</v>
      </c>
      <c r="G173" s="9" t="n">
        <f aca="false">Dummy_Variables!D137</f>
        <v>0</v>
      </c>
      <c r="H173" s="9" t="n">
        <f aca="false">Dummy_Variables!E137</f>
        <v>0</v>
      </c>
      <c r="I173" s="9" t="n">
        <f aca="false">Dummy_Variables!F137</f>
        <v>1</v>
      </c>
    </row>
    <row r="174" customFormat="false" ht="15" hidden="false" customHeight="true" outlineLevel="0" collapsed="false">
      <c r="A174" s="9" t="n">
        <f aca="false">Cleaned_Prepared_Data!M138</f>
        <v>646559.71</v>
      </c>
      <c r="B174" s="9" t="n">
        <f aca="false">Cleaned_Prepared_Data!F138</f>
        <v>5465</v>
      </c>
      <c r="C174" s="9" t="n">
        <f aca="false">Cleaned_Prepared_Data!E138</f>
        <v>44211.95</v>
      </c>
      <c r="D174" s="9" t="n">
        <f aca="false">Cleaned_Prepared_Data!I138</f>
        <v>90</v>
      </c>
      <c r="E174" s="9" t="n">
        <f aca="false">Cleaned_Prepared_Data!H138</f>
        <v>12</v>
      </c>
      <c r="F174" s="9" t="n">
        <f aca="false">Cleaned_Prepared_Data!G138</f>
        <v>0.187</v>
      </c>
      <c r="G174" s="9" t="n">
        <f aca="false">Dummy_Variables!D138</f>
        <v>0</v>
      </c>
      <c r="H174" s="9" t="n">
        <f aca="false">Dummy_Variables!E138</f>
        <v>0</v>
      </c>
      <c r="I174" s="9" t="n">
        <f aca="false">Dummy_Variables!F138</f>
        <v>1</v>
      </c>
    </row>
    <row r="175" customFormat="false" ht="15" hidden="false" customHeight="true" outlineLevel="0" collapsed="false">
      <c r="A175" s="9" t="n">
        <f aca="false">Cleaned_Prepared_Data!M139</f>
        <v>715890.53</v>
      </c>
      <c r="B175" s="9" t="n">
        <f aca="false">Cleaned_Prepared_Data!F139</f>
        <v>6427</v>
      </c>
      <c r="C175" s="9" t="n">
        <f aca="false">Cleaned_Prepared_Data!E139</f>
        <v>51430.31</v>
      </c>
      <c r="D175" s="9" t="n">
        <f aca="false">Cleaned_Prepared_Data!I139</f>
        <v>88.8</v>
      </c>
      <c r="E175" s="9" t="n">
        <f aca="false">Cleaned_Prepared_Data!H139</f>
        <v>14</v>
      </c>
      <c r="F175" s="9" t="n">
        <f aca="false">Cleaned_Prepared_Data!G139</f>
        <v>0.234</v>
      </c>
      <c r="G175" s="9" t="n">
        <f aca="false">Dummy_Variables!D139</f>
        <v>0</v>
      </c>
      <c r="H175" s="9" t="n">
        <f aca="false">Dummy_Variables!E139</f>
        <v>0</v>
      </c>
      <c r="I175" s="9" t="n">
        <f aca="false">Dummy_Variables!F139</f>
        <v>0</v>
      </c>
    </row>
    <row r="176" customFormat="false" ht="15" hidden="false" customHeight="true" outlineLevel="0" collapsed="false">
      <c r="A176" s="9" t="n">
        <f aca="false">Cleaned_Prepared_Data!M140</f>
        <v>715097.57</v>
      </c>
      <c r="B176" s="9" t="n">
        <f aca="false">Cleaned_Prepared_Data!F140</f>
        <v>6704</v>
      </c>
      <c r="C176" s="9" t="n">
        <f aca="false">Cleaned_Prepared_Data!E140</f>
        <v>45706.49</v>
      </c>
      <c r="D176" s="9" t="n">
        <f aca="false">Cleaned_Prepared_Data!I140</f>
        <v>94.2</v>
      </c>
      <c r="E176" s="9" t="n">
        <f aca="false">Cleaned_Prepared_Data!H140</f>
        <v>15</v>
      </c>
      <c r="F176" s="9" t="n">
        <f aca="false">Cleaned_Prepared_Data!G140</f>
        <v>0.038</v>
      </c>
      <c r="G176" s="9" t="n">
        <f aca="false">Dummy_Variables!D140</f>
        <v>0</v>
      </c>
      <c r="H176" s="9" t="n">
        <f aca="false">Dummy_Variables!E140</f>
        <v>0</v>
      </c>
      <c r="I176" s="9" t="n">
        <f aca="false">Dummy_Variables!F140</f>
        <v>0</v>
      </c>
    </row>
    <row r="177" customFormat="false" ht="15" hidden="false" customHeight="true" outlineLevel="0" collapsed="false">
      <c r="A177" s="9" t="n">
        <f aca="false">Cleaned_Prepared_Data!M141</f>
        <v>682639.28</v>
      </c>
      <c r="B177" s="9" t="n">
        <f aca="false">Cleaned_Prepared_Data!F141</f>
        <v>5645</v>
      </c>
      <c r="C177" s="9" t="n">
        <f aca="false">Cleaned_Prepared_Data!E141</f>
        <v>44034.6</v>
      </c>
      <c r="D177" s="9" t="n">
        <f aca="false">Cleaned_Prepared_Data!I141</f>
        <v>88.5</v>
      </c>
      <c r="E177" s="9" t="n">
        <f aca="false">Cleaned_Prepared_Data!H141</f>
        <v>18</v>
      </c>
      <c r="F177" s="9" t="n">
        <f aca="false">Cleaned_Prepared_Data!G141</f>
        <v>0.069</v>
      </c>
      <c r="G177" s="9" t="n">
        <f aca="false">Dummy_Variables!D141</f>
        <v>0</v>
      </c>
      <c r="H177" s="9" t="n">
        <f aca="false">Dummy_Variables!E141</f>
        <v>0</v>
      </c>
      <c r="I177" s="9" t="n">
        <f aca="false">Dummy_Variables!F141</f>
        <v>0</v>
      </c>
    </row>
    <row r="178" customFormat="false" ht="15" hidden="false" customHeight="true" outlineLevel="0" collapsed="false">
      <c r="A178" s="9" t="n">
        <f aca="false">Cleaned_Prepared_Data!M142</f>
        <v>695098.51</v>
      </c>
      <c r="B178" s="9" t="n">
        <f aca="false">Cleaned_Prepared_Data!F142</f>
        <v>6089</v>
      </c>
      <c r="C178" s="9" t="n">
        <f aca="false">Cleaned_Prepared_Data!E142</f>
        <v>50198.12</v>
      </c>
      <c r="D178" s="9" t="n">
        <f aca="false">Cleaned_Prepared_Data!I142</f>
        <v>94</v>
      </c>
      <c r="E178" s="9" t="n">
        <f aca="false">Cleaned_Prepared_Data!H142</f>
        <v>19</v>
      </c>
      <c r="F178" s="9" t="n">
        <f aca="false">Cleaned_Prepared_Data!G142</f>
        <v>0.182</v>
      </c>
      <c r="G178" s="9" t="n">
        <f aca="false">Dummy_Variables!D142</f>
        <v>0</v>
      </c>
      <c r="H178" s="9" t="n">
        <f aca="false">Dummy_Variables!E142</f>
        <v>0</v>
      </c>
      <c r="I178" s="9" t="n">
        <f aca="false">Dummy_Variables!F142</f>
        <v>0</v>
      </c>
    </row>
    <row r="179" customFormat="false" ht="15" hidden="false" customHeight="true" outlineLevel="0" collapsed="false">
      <c r="A179" s="9" t="n">
        <f aca="false">Cleaned_Prepared_Data!M143</f>
        <v>577732.57</v>
      </c>
      <c r="B179" s="9" t="n">
        <f aca="false">Cleaned_Prepared_Data!F143</f>
        <v>4312</v>
      </c>
      <c r="C179" s="9" t="n">
        <f aca="false">Cleaned_Prepared_Data!E143</f>
        <v>70488.2</v>
      </c>
      <c r="D179" s="9" t="n">
        <f aca="false">Cleaned_Prepared_Data!I143</f>
        <v>90.2</v>
      </c>
      <c r="E179" s="9" t="n">
        <f aca="false">Cleaned_Prepared_Data!H143</f>
        <v>12</v>
      </c>
      <c r="F179" s="9" t="n">
        <f aca="false">Cleaned_Prepared_Data!G143</f>
        <v>0.169</v>
      </c>
      <c r="G179" s="9" t="n">
        <f aca="false">Dummy_Variables!D143</f>
        <v>0</v>
      </c>
      <c r="H179" s="9" t="n">
        <f aca="false">Dummy_Variables!E143</f>
        <v>0</v>
      </c>
      <c r="I179" s="9" t="n">
        <f aca="false">Dummy_Variables!F143</f>
        <v>1</v>
      </c>
    </row>
    <row r="180" customFormat="false" ht="15" hidden="false" customHeight="true" outlineLevel="0" collapsed="false">
      <c r="A180" s="9" t="n">
        <f aca="false">Cleaned_Prepared_Data!M144</f>
        <v>537058.33</v>
      </c>
      <c r="B180" s="9" t="n">
        <f aca="false">Cleaned_Prepared_Data!F144</f>
        <v>3152</v>
      </c>
      <c r="C180" s="9" t="n">
        <f aca="false">Cleaned_Prepared_Data!E144</f>
        <v>50909.27</v>
      </c>
      <c r="D180" s="9" t="n">
        <f aca="false">Cleaned_Prepared_Data!I144</f>
        <v>93.7</v>
      </c>
      <c r="E180" s="9" t="n">
        <f aca="false">Cleaned_Prepared_Data!H144</f>
        <v>13</v>
      </c>
      <c r="F180" s="9" t="n">
        <f aca="false">Cleaned_Prepared_Data!G144</f>
        <v>0.06</v>
      </c>
      <c r="G180" s="9" t="n">
        <f aca="false">Dummy_Variables!D144</f>
        <v>0</v>
      </c>
      <c r="H180" s="9" t="n">
        <f aca="false">Dummy_Variables!E144</f>
        <v>0</v>
      </c>
      <c r="I180" s="9" t="n">
        <f aca="false">Dummy_Variables!F144</f>
        <v>1</v>
      </c>
    </row>
    <row r="181" customFormat="false" ht="15" hidden="false" customHeight="true" outlineLevel="0" collapsed="false">
      <c r="A181" s="9" t="n">
        <f aca="false">Cleaned_Prepared_Data!M145</f>
        <v>601568.87</v>
      </c>
      <c r="B181" s="9" t="n">
        <f aca="false">Cleaned_Prepared_Data!F145</f>
        <v>4259</v>
      </c>
      <c r="C181" s="9" t="n">
        <f aca="false">Cleaned_Prepared_Data!E145</f>
        <v>53351.7</v>
      </c>
      <c r="D181" s="9" t="n">
        <f aca="false">Cleaned_Prepared_Data!I145</f>
        <v>93.7</v>
      </c>
      <c r="E181" s="9" t="n">
        <f aca="false">Cleaned_Prepared_Data!H145</f>
        <v>15</v>
      </c>
      <c r="F181" s="9" t="n">
        <f aca="false">Cleaned_Prepared_Data!G145</f>
        <v>0.156</v>
      </c>
      <c r="G181" s="9" t="n">
        <f aca="false">Dummy_Variables!D145</f>
        <v>0</v>
      </c>
      <c r="H181" s="9" t="n">
        <f aca="false">Dummy_Variables!E145</f>
        <v>0</v>
      </c>
      <c r="I181" s="9" t="n">
        <f aca="false">Dummy_Variables!F145</f>
        <v>1</v>
      </c>
    </row>
    <row r="182" customFormat="false" ht="15" hidden="false" customHeight="true" outlineLevel="0" collapsed="false">
      <c r="A182" s="9" t="n">
        <f aca="false">Cleaned_Prepared_Data!M146</f>
        <v>570964.84</v>
      </c>
      <c r="B182" s="9" t="n">
        <f aca="false">Cleaned_Prepared_Data!F146</f>
        <v>3350</v>
      </c>
      <c r="C182" s="9" t="n">
        <f aca="false">Cleaned_Prepared_Data!E146</f>
        <v>60322.4</v>
      </c>
      <c r="D182" s="9" t="n">
        <f aca="false">Cleaned_Prepared_Data!I146</f>
        <v>89.4</v>
      </c>
      <c r="E182" s="9" t="n">
        <f aca="false">Cleaned_Prepared_Data!H146</f>
        <v>12</v>
      </c>
      <c r="F182" s="9" t="n">
        <f aca="false">Cleaned_Prepared_Data!G146</f>
        <v>0.108</v>
      </c>
      <c r="G182" s="9" t="n">
        <f aca="false">Dummy_Variables!D146</f>
        <v>0</v>
      </c>
      <c r="H182" s="9" t="n">
        <f aca="false">Dummy_Variables!E146</f>
        <v>0</v>
      </c>
      <c r="I182" s="9" t="n">
        <f aca="false">Dummy_Variables!F146</f>
        <v>1</v>
      </c>
    </row>
    <row r="183" customFormat="false" ht="15" hidden="false" customHeight="true" outlineLevel="0" collapsed="false">
      <c r="A183" s="9" t="n">
        <f aca="false">Cleaned_Prepared_Data!M147</f>
        <v>614024.91</v>
      </c>
      <c r="B183" s="9" t="n">
        <f aca="false">Cleaned_Prepared_Data!F147</f>
        <v>5329</v>
      </c>
      <c r="C183" s="9" t="n">
        <f aca="false">Cleaned_Prepared_Data!E147</f>
        <v>51575.68</v>
      </c>
      <c r="D183" s="9" t="n">
        <f aca="false">Cleaned_Prepared_Data!I147</f>
        <v>88.1</v>
      </c>
      <c r="E183" s="9" t="n">
        <f aca="false">Cleaned_Prepared_Data!H147</f>
        <v>17</v>
      </c>
      <c r="F183" s="9" t="n">
        <f aca="false">Cleaned_Prepared_Data!G147</f>
        <v>0.047</v>
      </c>
      <c r="G183" s="9" t="n">
        <f aca="false">Dummy_Variables!D147</f>
        <v>0</v>
      </c>
      <c r="H183" s="9" t="n">
        <f aca="false">Dummy_Variables!E147</f>
        <v>1</v>
      </c>
      <c r="I183" s="9" t="n">
        <f aca="false">Dummy_Variables!F147</f>
        <v>0</v>
      </c>
    </row>
    <row r="184" customFormat="false" ht="15" hidden="false" customHeight="true" outlineLevel="0" collapsed="false">
      <c r="A184" s="9" t="n">
        <f aca="false">Cleaned_Prepared_Data!M148</f>
        <v>712868.35</v>
      </c>
      <c r="B184" s="9" t="n">
        <f aca="false">Cleaned_Prepared_Data!F148</f>
        <v>6551</v>
      </c>
      <c r="C184" s="9" t="n">
        <f aca="false">Cleaned_Prepared_Data!E148</f>
        <v>43319.94</v>
      </c>
      <c r="D184" s="9" t="n">
        <f aca="false">Cleaned_Prepared_Data!I148</f>
        <v>99</v>
      </c>
      <c r="E184" s="9" t="n">
        <f aca="false">Cleaned_Prepared_Data!H148</f>
        <v>13</v>
      </c>
      <c r="F184" s="9" t="n">
        <f aca="false">Cleaned_Prepared_Data!G148</f>
        <v>0.044</v>
      </c>
      <c r="G184" s="9" t="n">
        <f aca="false">Dummy_Variables!D148</f>
        <v>0</v>
      </c>
      <c r="H184" s="9" t="n">
        <f aca="false">Dummy_Variables!E148</f>
        <v>1</v>
      </c>
      <c r="I184" s="9" t="n">
        <f aca="false">Dummy_Variables!F148</f>
        <v>0</v>
      </c>
    </row>
    <row r="185" customFormat="false" ht="15" hidden="false" customHeight="true" outlineLevel="0" collapsed="false">
      <c r="A185" s="9" t="n">
        <f aca="false">Cleaned_Prepared_Data!M149</f>
        <v>696744.15</v>
      </c>
      <c r="B185" s="9" t="n">
        <f aca="false">Cleaned_Prepared_Data!F149</f>
        <v>5550</v>
      </c>
      <c r="C185" s="9" t="n">
        <f aca="false">Cleaned_Prepared_Data!E149</f>
        <v>47093.55</v>
      </c>
      <c r="D185" s="9" t="n">
        <f aca="false">Cleaned_Prepared_Data!I149</f>
        <v>95</v>
      </c>
      <c r="E185" s="9" t="n">
        <f aca="false">Cleaned_Prepared_Data!H149</f>
        <v>12</v>
      </c>
      <c r="F185" s="9" t="n">
        <f aca="false">Cleaned_Prepared_Data!G149</f>
        <v>0.1</v>
      </c>
      <c r="G185" s="9" t="n">
        <f aca="false">Dummy_Variables!D149</f>
        <v>0</v>
      </c>
      <c r="H185" s="9" t="n">
        <f aca="false">Dummy_Variables!E149</f>
        <v>1</v>
      </c>
      <c r="I185" s="9" t="n">
        <f aca="false">Dummy_Variables!F149</f>
        <v>0</v>
      </c>
    </row>
    <row r="186" customFormat="false" ht="15" hidden="false" customHeight="true" outlineLevel="0" collapsed="false">
      <c r="A186" s="9" t="n">
        <f aca="false">Cleaned_Prepared_Data!M150</f>
        <v>725847.99</v>
      </c>
      <c r="B186" s="9" t="n">
        <f aca="false">Cleaned_Prepared_Data!F150</f>
        <v>5911</v>
      </c>
      <c r="C186" s="9" t="n">
        <f aca="false">Cleaned_Prepared_Data!E150</f>
        <v>71855.09</v>
      </c>
      <c r="D186" s="9" t="n">
        <f aca="false">Cleaned_Prepared_Data!I150</f>
        <v>94.3</v>
      </c>
      <c r="E186" s="9" t="n">
        <f aca="false">Cleaned_Prepared_Data!H150</f>
        <v>15</v>
      </c>
      <c r="F186" s="9" t="n">
        <f aca="false">Cleaned_Prepared_Data!G150</f>
        <v>0.197</v>
      </c>
      <c r="G186" s="9" t="n">
        <f aca="false">Dummy_Variables!D150</f>
        <v>0</v>
      </c>
      <c r="H186" s="9" t="n">
        <f aca="false">Dummy_Variables!E150</f>
        <v>1</v>
      </c>
      <c r="I186" s="9" t="n">
        <f aca="false">Dummy_Variables!F150</f>
        <v>0</v>
      </c>
    </row>
    <row r="187" customFormat="false" ht="15" hidden="false" customHeight="true" outlineLevel="0" collapsed="false">
      <c r="A187" s="9" t="n">
        <f aca="false">Cleaned_Prepared_Data!M151</f>
        <v>785028.25</v>
      </c>
      <c r="B187" s="9" t="n">
        <f aca="false">Cleaned_Prepared_Data!F151</f>
        <v>9674</v>
      </c>
      <c r="C187" s="9" t="n">
        <f aca="false">Cleaned_Prepared_Data!E151</f>
        <v>75645.23</v>
      </c>
      <c r="D187" s="9" t="n">
        <f aca="false">Cleaned_Prepared_Data!I151</f>
        <v>87.4</v>
      </c>
      <c r="E187" s="9" t="n">
        <f aca="false">Cleaned_Prepared_Data!H151</f>
        <v>21</v>
      </c>
      <c r="F187" s="9" t="n">
        <f aca="false">Cleaned_Prepared_Data!G151</f>
        <v>0.234</v>
      </c>
      <c r="G187" s="9" t="n">
        <f aca="false">Dummy_Variables!D151</f>
        <v>0</v>
      </c>
      <c r="H187" s="9" t="n">
        <f aca="false">Dummy_Variables!E151</f>
        <v>0</v>
      </c>
      <c r="I187" s="9" t="n">
        <f aca="false">Dummy_Variables!F151</f>
        <v>0</v>
      </c>
    </row>
    <row r="188" customFormat="false" ht="15" hidden="false" customHeight="true" outlineLevel="0" collapsed="false">
      <c r="A188" s="9" t="n">
        <f aca="false">Cleaned_Prepared_Data!M152</f>
        <v>698492.67</v>
      </c>
      <c r="B188" s="9" t="n">
        <f aca="false">Cleaned_Prepared_Data!F152</f>
        <v>6740</v>
      </c>
      <c r="C188" s="9" t="n">
        <f aca="false">Cleaned_Prepared_Data!E152</f>
        <v>64374.75</v>
      </c>
      <c r="D188" s="9" t="n">
        <f aca="false">Cleaned_Prepared_Data!I152</f>
        <v>87</v>
      </c>
      <c r="E188" s="9" t="n">
        <f aca="false">Cleaned_Prepared_Data!H152</f>
        <v>18</v>
      </c>
      <c r="F188" s="9" t="n">
        <f aca="false">Cleaned_Prepared_Data!G152</f>
        <v>0.169</v>
      </c>
      <c r="G188" s="9" t="n">
        <f aca="false">Dummy_Variables!D152</f>
        <v>0</v>
      </c>
      <c r="H188" s="9" t="n">
        <f aca="false">Dummy_Variables!E152</f>
        <v>0</v>
      </c>
      <c r="I188" s="9" t="n">
        <f aca="false">Dummy_Variables!F152</f>
        <v>0</v>
      </c>
    </row>
    <row r="189" customFormat="false" ht="15" hidden="false" customHeight="true" outlineLevel="0" collapsed="false">
      <c r="A189" s="9" t="n">
        <f aca="false">Cleaned_Prepared_Data!M153</f>
        <v>685830.24</v>
      </c>
      <c r="B189" s="9" t="n">
        <f aca="false">Cleaned_Prepared_Data!F153</f>
        <v>7745</v>
      </c>
      <c r="C189" s="9" t="n">
        <f aca="false">Cleaned_Prepared_Data!E153</f>
        <v>61433.84</v>
      </c>
      <c r="D189" s="9" t="n">
        <f aca="false">Cleaned_Prepared_Data!I153</f>
        <v>90.5</v>
      </c>
      <c r="E189" s="9" t="n">
        <f aca="false">Cleaned_Prepared_Data!H153</f>
        <v>16</v>
      </c>
      <c r="F189" s="9" t="n">
        <f aca="false">Cleaned_Prepared_Data!G153</f>
        <v>0.18</v>
      </c>
      <c r="G189" s="9" t="n">
        <f aca="false">Dummy_Variables!D153</f>
        <v>0</v>
      </c>
      <c r="H189" s="9" t="n">
        <f aca="false">Dummy_Variables!E153</f>
        <v>0</v>
      </c>
      <c r="I189" s="9" t="n">
        <f aca="false">Dummy_Variables!F153</f>
        <v>0</v>
      </c>
    </row>
    <row r="190" customFormat="false" ht="15" hidden="false" customHeight="true" outlineLevel="0" collapsed="false">
      <c r="A190" s="9" t="n">
        <f aca="false">Cleaned_Prepared_Data!M154</f>
        <v>702318.94</v>
      </c>
      <c r="B190" s="9" t="n">
        <f aca="false">Cleaned_Prepared_Data!F154</f>
        <v>7693</v>
      </c>
      <c r="C190" s="9" t="n">
        <f aca="false">Cleaned_Prepared_Data!E154</f>
        <v>42698.14</v>
      </c>
      <c r="D190" s="9" t="n">
        <f aca="false">Cleaned_Prepared_Data!I154</f>
        <v>90.1</v>
      </c>
      <c r="E190" s="9" t="n">
        <f aca="false">Cleaned_Prepared_Data!H154</f>
        <v>19</v>
      </c>
      <c r="F190" s="9" t="n">
        <f aca="false">Cleaned_Prepared_Data!G154</f>
        <v>0.187</v>
      </c>
      <c r="G190" s="9" t="n">
        <f aca="false">Dummy_Variables!D154</f>
        <v>0</v>
      </c>
      <c r="H190" s="9" t="n">
        <f aca="false">Dummy_Variables!E154</f>
        <v>0</v>
      </c>
      <c r="I190" s="9" t="n">
        <f aca="false">Dummy_Variables!F154</f>
        <v>0</v>
      </c>
    </row>
    <row r="191" customFormat="false" ht="15" hidden="false" customHeight="true" outlineLevel="0" collapsed="false">
      <c r="A191" s="9" t="n">
        <f aca="false">Cleaned_Prepared_Data!M155</f>
        <v>700078.32</v>
      </c>
      <c r="B191" s="9" t="n">
        <f aca="false">Cleaned_Prepared_Data!F155</f>
        <v>6424</v>
      </c>
      <c r="C191" s="9" t="n">
        <f aca="false">Cleaned_Prepared_Data!E155</f>
        <v>86883.31</v>
      </c>
      <c r="D191" s="9" t="n">
        <f aca="false">Cleaned_Prepared_Data!I155</f>
        <v>85.2</v>
      </c>
      <c r="E191" s="9" t="n">
        <f aca="false">Cleaned_Prepared_Data!H155</f>
        <v>19</v>
      </c>
      <c r="F191" s="9" t="n">
        <f aca="false">Cleaned_Prepared_Data!G155</f>
        <v>0.057</v>
      </c>
      <c r="G191" s="9" t="n">
        <f aca="false">Dummy_Variables!D155</f>
        <v>0</v>
      </c>
      <c r="H191" s="9" t="n">
        <f aca="false">Dummy_Variables!E155</f>
        <v>1</v>
      </c>
      <c r="I191" s="9" t="n">
        <f aca="false">Dummy_Variables!F155</f>
        <v>0</v>
      </c>
    </row>
    <row r="192" customFormat="false" ht="15" hidden="false" customHeight="true" outlineLevel="0" collapsed="false">
      <c r="A192" s="9" t="n">
        <f aca="false">Cleaned_Prepared_Data!M156</f>
        <v>602002.32</v>
      </c>
      <c r="B192" s="9" t="n">
        <f aca="false">Cleaned_Prepared_Data!F156</f>
        <v>5400</v>
      </c>
      <c r="C192" s="9" t="n">
        <f aca="false">Cleaned_Prepared_Data!E156</f>
        <v>41863.08</v>
      </c>
      <c r="D192" s="9" t="n">
        <f aca="false">Cleaned_Prepared_Data!I156</f>
        <v>91.6</v>
      </c>
      <c r="E192" s="9" t="n">
        <f aca="false">Cleaned_Prepared_Data!H156</f>
        <v>11</v>
      </c>
      <c r="F192" s="9" t="n">
        <f aca="false">Cleaned_Prepared_Data!G156</f>
        <v>0.114</v>
      </c>
      <c r="G192" s="9" t="n">
        <f aca="false">Dummy_Variables!D156</f>
        <v>0</v>
      </c>
      <c r="H192" s="9" t="n">
        <f aca="false">Dummy_Variables!E156</f>
        <v>1</v>
      </c>
      <c r="I192" s="9" t="n">
        <f aca="false">Dummy_Variables!F156</f>
        <v>0</v>
      </c>
    </row>
    <row r="193" customFormat="false" ht="15" hidden="false" customHeight="true" outlineLevel="0" collapsed="false">
      <c r="A193" s="9" t="n">
        <f aca="false">Cleaned_Prepared_Data!M157</f>
        <v>724216.07</v>
      </c>
      <c r="B193" s="9" t="n">
        <f aca="false">Cleaned_Prepared_Data!F157</f>
        <v>7015</v>
      </c>
      <c r="C193" s="9" t="n">
        <f aca="false">Cleaned_Prepared_Data!E157</f>
        <v>56918.16</v>
      </c>
      <c r="D193" s="9" t="n">
        <f aca="false">Cleaned_Prepared_Data!I157</f>
        <v>74.2</v>
      </c>
      <c r="E193" s="9" t="n">
        <f aca="false">Cleaned_Prepared_Data!H157</f>
        <v>18</v>
      </c>
      <c r="F193" s="9" t="n">
        <f aca="false">Cleaned_Prepared_Data!G157</f>
        <v>0.158</v>
      </c>
      <c r="G193" s="9" t="n">
        <f aca="false">Dummy_Variables!D157</f>
        <v>0</v>
      </c>
      <c r="H193" s="9" t="n">
        <f aca="false">Dummy_Variables!E157</f>
        <v>1</v>
      </c>
      <c r="I193" s="9" t="n">
        <f aca="false">Dummy_Variables!F157</f>
        <v>0</v>
      </c>
    </row>
    <row r="194" customFormat="false" ht="15" hidden="false" customHeight="true" outlineLevel="0" collapsed="false">
      <c r="A194" s="9" t="n">
        <f aca="false">Cleaned_Prepared_Data!M158</f>
        <v>620973.03</v>
      </c>
      <c r="B194" s="9" t="n">
        <f aca="false">Cleaned_Prepared_Data!F158</f>
        <v>3847</v>
      </c>
      <c r="C194" s="9" t="n">
        <f aca="false">Cleaned_Prepared_Data!E158</f>
        <v>23254.57</v>
      </c>
      <c r="D194" s="9" t="n">
        <f aca="false">Cleaned_Prepared_Data!I158</f>
        <v>93</v>
      </c>
      <c r="E194" s="9" t="n">
        <f aca="false">Cleaned_Prepared_Data!H158</f>
        <v>12</v>
      </c>
      <c r="F194" s="9" t="n">
        <f aca="false">Cleaned_Prepared_Data!G158</f>
        <v>0.159</v>
      </c>
      <c r="G194" s="9" t="n">
        <f aca="false">Dummy_Variables!D158</f>
        <v>0</v>
      </c>
      <c r="H194" s="9" t="n">
        <f aca="false">Dummy_Variables!E158</f>
        <v>1</v>
      </c>
      <c r="I194" s="9" t="n">
        <f aca="false">Dummy_Variables!F158</f>
        <v>0</v>
      </c>
    </row>
    <row r="195" customFormat="false" ht="15" hidden="false" customHeight="true" outlineLevel="0" collapsed="false">
      <c r="A195" s="9" t="n">
        <f aca="false">Cleaned_Prepared_Data!M159</f>
        <v>650480.06</v>
      </c>
      <c r="B195" s="9" t="n">
        <f aca="false">Cleaned_Prepared_Data!F159</f>
        <v>7455</v>
      </c>
      <c r="C195" s="9" t="n">
        <f aca="false">Cleaned_Prepared_Data!E159</f>
        <v>41443.41</v>
      </c>
      <c r="D195" s="9" t="n">
        <f aca="false">Cleaned_Prepared_Data!I159</f>
        <v>90.1</v>
      </c>
      <c r="E195" s="9" t="n">
        <f aca="false">Cleaned_Prepared_Data!H159</f>
        <v>16</v>
      </c>
      <c r="F195" s="9" t="n">
        <f aca="false">Cleaned_Prepared_Data!G159</f>
        <v>0.175</v>
      </c>
      <c r="G195" s="9" t="n">
        <f aca="false">Dummy_Variables!D159</f>
        <v>0</v>
      </c>
      <c r="H195" s="9" t="n">
        <f aca="false">Dummy_Variables!E159</f>
        <v>0</v>
      </c>
      <c r="I195" s="9" t="n">
        <f aca="false">Dummy_Variables!F159</f>
        <v>0</v>
      </c>
    </row>
    <row r="196" customFormat="false" ht="15" hidden="false" customHeight="true" outlineLevel="0" collapsed="false">
      <c r="A196" s="9" t="n">
        <f aca="false">Cleaned_Prepared_Data!M160</f>
        <v>778298.88</v>
      </c>
      <c r="B196" s="9" t="n">
        <f aca="false">Cleaned_Prepared_Data!F160</f>
        <v>6992</v>
      </c>
      <c r="C196" s="9" t="n">
        <f aca="false">Cleaned_Prepared_Data!E160</f>
        <v>48438.85</v>
      </c>
      <c r="D196" s="9" t="n">
        <f aca="false">Cleaned_Prepared_Data!I160</f>
        <v>91</v>
      </c>
      <c r="E196" s="9" t="n">
        <f aca="false">Cleaned_Prepared_Data!H160</f>
        <v>20</v>
      </c>
      <c r="F196" s="9" t="n">
        <f aca="false">Cleaned_Prepared_Data!G160</f>
        <v>0.034</v>
      </c>
      <c r="G196" s="9" t="n">
        <f aca="false">Dummy_Variables!D160</f>
        <v>0</v>
      </c>
      <c r="H196" s="9" t="n">
        <f aca="false">Dummy_Variables!E160</f>
        <v>0</v>
      </c>
      <c r="I196" s="9" t="n">
        <f aca="false">Dummy_Variables!F160</f>
        <v>0</v>
      </c>
    </row>
    <row r="197" customFormat="false" ht="15" hidden="false" customHeight="true" outlineLevel="0" collapsed="false">
      <c r="A197" s="9" t="n">
        <f aca="false">Cleaned_Prepared_Data!M161</f>
        <v>692008.64</v>
      </c>
      <c r="B197" s="9" t="n">
        <f aca="false">Cleaned_Prepared_Data!F161</f>
        <v>6055</v>
      </c>
      <c r="C197" s="9" t="n">
        <f aca="false">Cleaned_Prepared_Data!E161</f>
        <v>66870.62</v>
      </c>
      <c r="D197" s="9" t="n">
        <f aca="false">Cleaned_Prepared_Data!I161</f>
        <v>93.8</v>
      </c>
      <c r="E197" s="9" t="n">
        <f aca="false">Cleaned_Prepared_Data!H161</f>
        <v>19</v>
      </c>
      <c r="F197" s="9" t="n">
        <f aca="false">Cleaned_Prepared_Data!G161</f>
        <v>0.075</v>
      </c>
      <c r="G197" s="9" t="n">
        <f aca="false">Dummy_Variables!D161</f>
        <v>0</v>
      </c>
      <c r="H197" s="9" t="n">
        <f aca="false">Dummy_Variables!E161</f>
        <v>0</v>
      </c>
      <c r="I197" s="9" t="n">
        <f aca="false">Dummy_Variables!F161</f>
        <v>0</v>
      </c>
    </row>
    <row r="198" customFormat="false" ht="15" hidden="false" customHeight="true" outlineLevel="0" collapsed="false">
      <c r="A198" s="9" t="n">
        <f aca="false">Cleaned_Prepared_Data!M162</f>
        <v>825797.91</v>
      </c>
      <c r="B198" s="9" t="n">
        <f aca="false">Cleaned_Prepared_Data!F162</f>
        <v>9323</v>
      </c>
      <c r="C198" s="9" t="n">
        <f aca="false">Cleaned_Prepared_Data!E162</f>
        <v>72150.53</v>
      </c>
      <c r="D198" s="9" t="n">
        <f aca="false">Cleaned_Prepared_Data!I162</f>
        <v>82.9</v>
      </c>
      <c r="E198" s="9" t="n">
        <f aca="false">Cleaned_Prepared_Data!H162</f>
        <v>22</v>
      </c>
      <c r="F198" s="9" t="n">
        <f aca="false">Cleaned_Prepared_Data!G162</f>
        <v>0.157</v>
      </c>
      <c r="G198" s="9" t="n">
        <f aca="false">Dummy_Variables!D162</f>
        <v>0</v>
      </c>
      <c r="H198" s="9" t="n">
        <f aca="false">Dummy_Variables!E162</f>
        <v>1</v>
      </c>
      <c r="I198" s="9" t="n">
        <f aca="false">Dummy_Variables!F162</f>
        <v>0</v>
      </c>
    </row>
    <row r="199" customFormat="false" ht="15" hidden="false" customHeight="true" outlineLevel="0" collapsed="false">
      <c r="A199" s="9" t="n">
        <f aca="false">Cleaned_Prepared_Data!M163</f>
        <v>706285.52</v>
      </c>
      <c r="B199" s="9" t="n">
        <f aca="false">Cleaned_Prepared_Data!F163</f>
        <v>8789</v>
      </c>
      <c r="C199" s="9" t="n">
        <f aca="false">Cleaned_Prepared_Data!E163</f>
        <v>35303.3</v>
      </c>
      <c r="D199" s="9" t="n">
        <f aca="false">Cleaned_Prepared_Data!I163</f>
        <v>86.1</v>
      </c>
      <c r="E199" s="9" t="n">
        <f aca="false">Cleaned_Prepared_Data!H163</f>
        <v>22</v>
      </c>
      <c r="F199" s="9" t="n">
        <f aca="false">Cleaned_Prepared_Data!G163</f>
        <v>0.123</v>
      </c>
      <c r="G199" s="9" t="n">
        <f aca="false">Dummy_Variables!D163</f>
        <v>0</v>
      </c>
      <c r="H199" s="9" t="n">
        <f aca="false">Dummy_Variables!E163</f>
        <v>1</v>
      </c>
      <c r="I199" s="9" t="n">
        <f aca="false">Dummy_Variables!F163</f>
        <v>0</v>
      </c>
    </row>
    <row r="200" customFormat="false" ht="15" hidden="false" customHeight="true" outlineLevel="0" collapsed="false">
      <c r="A200" s="9" t="n">
        <f aca="false">Cleaned_Prepared_Data!M164</f>
        <v>665534.7</v>
      </c>
      <c r="B200" s="9" t="n">
        <f aca="false">Cleaned_Prepared_Data!F164</f>
        <v>6939</v>
      </c>
      <c r="C200" s="9" t="n">
        <f aca="false">Cleaned_Prepared_Data!E164</f>
        <v>30301.86</v>
      </c>
      <c r="D200" s="9" t="n">
        <f aca="false">Cleaned_Prepared_Data!I164</f>
        <v>90.3</v>
      </c>
      <c r="E200" s="9" t="n">
        <f aca="false">Cleaned_Prepared_Data!H164</f>
        <v>16</v>
      </c>
      <c r="F200" s="9" t="n">
        <f aca="false">Cleaned_Prepared_Data!G164</f>
        <v>0.09</v>
      </c>
      <c r="G200" s="9" t="n">
        <f aca="false">Dummy_Variables!D164</f>
        <v>0</v>
      </c>
      <c r="H200" s="9" t="n">
        <f aca="false">Dummy_Variables!E164</f>
        <v>1</v>
      </c>
      <c r="I200" s="9" t="n">
        <f aca="false">Dummy_Variables!F164</f>
        <v>0</v>
      </c>
    </row>
    <row r="201" customFormat="false" ht="15" hidden="false" customHeight="true" outlineLevel="0" collapsed="false">
      <c r="A201" s="9" t="n">
        <f aca="false">Cleaned_Prepared_Data!M165</f>
        <v>820729.29</v>
      </c>
      <c r="B201" s="9" t="n">
        <f aca="false">Cleaned_Prepared_Data!F165</f>
        <v>9440</v>
      </c>
      <c r="C201" s="9" t="n">
        <f aca="false">Cleaned_Prepared_Data!E165</f>
        <v>78432.14</v>
      </c>
      <c r="D201" s="9" t="n">
        <f aca="false">Cleaned_Prepared_Data!I165</f>
        <v>89.2</v>
      </c>
      <c r="E201" s="9" t="n">
        <f aca="false">Cleaned_Prepared_Data!H165</f>
        <v>23</v>
      </c>
      <c r="F201" s="9" t="n">
        <f aca="false">Cleaned_Prepared_Data!G165</f>
        <v>0.126</v>
      </c>
      <c r="G201" s="9" t="n">
        <f aca="false">Dummy_Variables!D165</f>
        <v>0</v>
      </c>
      <c r="H201" s="9" t="n">
        <f aca="false">Dummy_Variables!E165</f>
        <v>1</v>
      </c>
      <c r="I201" s="9" t="n">
        <f aca="false">Dummy_Variables!F165</f>
        <v>0</v>
      </c>
    </row>
    <row r="202" customFormat="false" ht="15" hidden="false" customHeight="true" outlineLevel="0" collapsed="false">
      <c r="A202" s="9" t="n">
        <f aca="false">Cleaned_Prepared_Data!M166</f>
        <v>739831.73</v>
      </c>
      <c r="B202" s="9" t="n">
        <f aca="false">Cleaned_Prepared_Data!F166</f>
        <v>9374</v>
      </c>
      <c r="C202" s="9" t="n">
        <f aca="false">Cleaned_Prepared_Data!E166</f>
        <v>62059.18</v>
      </c>
      <c r="D202" s="9" t="n">
        <f aca="false">Cleaned_Prepared_Data!I166</f>
        <v>87.1</v>
      </c>
      <c r="E202" s="9" t="n">
        <f aca="false">Cleaned_Prepared_Data!H166</f>
        <v>25</v>
      </c>
      <c r="F202" s="9" t="n">
        <f aca="false">Cleaned_Prepared_Data!G166</f>
        <v>0.136</v>
      </c>
      <c r="G202" s="9" t="n">
        <f aca="false">Dummy_Variables!D166</f>
        <v>0</v>
      </c>
      <c r="H202" s="9" t="n">
        <f aca="false">Dummy_Variables!E166</f>
        <v>0</v>
      </c>
      <c r="I202" s="9" t="n">
        <f aca="false">Dummy_Variables!F166</f>
        <v>1</v>
      </c>
    </row>
    <row r="203" customFormat="false" ht="15" hidden="false" customHeight="true" outlineLevel="0" collapsed="false">
      <c r="A203" s="9" t="n">
        <f aca="false">Cleaned_Prepared_Data!M167</f>
        <v>593637.14</v>
      </c>
      <c r="B203" s="9" t="n">
        <f aca="false">Cleaned_Prepared_Data!F167</f>
        <v>7576</v>
      </c>
      <c r="C203" s="9" t="n">
        <f aca="false">Cleaned_Prepared_Data!E167</f>
        <v>32834.48</v>
      </c>
      <c r="D203" s="9" t="n">
        <f aca="false">Cleaned_Prepared_Data!I167</f>
        <v>84.1</v>
      </c>
      <c r="E203" s="9" t="n">
        <f aca="false">Cleaned_Prepared_Data!H167</f>
        <v>15</v>
      </c>
      <c r="F203" s="9" t="n">
        <f aca="false">Cleaned_Prepared_Data!G167</f>
        <v>0.099</v>
      </c>
      <c r="G203" s="9" t="n">
        <f aca="false">Dummy_Variables!D167</f>
        <v>0</v>
      </c>
      <c r="H203" s="9" t="n">
        <f aca="false">Dummy_Variables!E167</f>
        <v>0</v>
      </c>
      <c r="I203" s="9" t="n">
        <f aca="false">Dummy_Variables!F167</f>
        <v>1</v>
      </c>
    </row>
    <row r="204" customFormat="false" ht="15" hidden="false" customHeight="true" outlineLevel="0" collapsed="false">
      <c r="A204" s="9" t="n">
        <f aca="false">Cleaned_Prepared_Data!M168</f>
        <v>769702.76</v>
      </c>
      <c r="B204" s="9" t="n">
        <f aca="false">Cleaned_Prepared_Data!F168</f>
        <v>8949</v>
      </c>
      <c r="C204" s="9" t="n">
        <f aca="false">Cleaned_Prepared_Data!E168</f>
        <v>50825.08</v>
      </c>
      <c r="D204" s="9" t="n">
        <f aca="false">Cleaned_Prepared_Data!I168</f>
        <v>84.7</v>
      </c>
      <c r="E204" s="9" t="n">
        <f aca="false">Cleaned_Prepared_Data!H168</f>
        <v>21</v>
      </c>
      <c r="F204" s="9" t="n">
        <f aca="false">Cleaned_Prepared_Data!G168</f>
        <v>0.157</v>
      </c>
      <c r="G204" s="9" t="n">
        <f aca="false">Dummy_Variables!D168</f>
        <v>0</v>
      </c>
      <c r="H204" s="9" t="n">
        <f aca="false">Dummy_Variables!E168</f>
        <v>0</v>
      </c>
      <c r="I204" s="9" t="n">
        <f aca="false">Dummy_Variables!F168</f>
        <v>1</v>
      </c>
    </row>
    <row r="205" customFormat="false" ht="15" hidden="false" customHeight="true" outlineLevel="0" collapsed="false">
      <c r="A205" s="9" t="n">
        <f aca="false">Cleaned_Prepared_Data!M169</f>
        <v>679731.57</v>
      </c>
      <c r="B205" s="9" t="n">
        <f aca="false">Cleaned_Prepared_Data!F169</f>
        <v>7671</v>
      </c>
      <c r="C205" s="9" t="n">
        <f aca="false">Cleaned_Prepared_Data!E169</f>
        <v>36606.51</v>
      </c>
      <c r="D205" s="9" t="n">
        <f aca="false">Cleaned_Prepared_Data!I169</f>
        <v>89.8</v>
      </c>
      <c r="E205" s="9" t="n">
        <f aca="false">Cleaned_Prepared_Data!H169</f>
        <v>18</v>
      </c>
      <c r="F205" s="9" t="n">
        <f aca="false">Cleaned_Prepared_Data!G169</f>
        <v>0.118</v>
      </c>
      <c r="G205" s="9" t="n">
        <f aca="false">Dummy_Variables!D169</f>
        <v>0</v>
      </c>
      <c r="H205" s="9" t="n">
        <f aca="false">Dummy_Variables!E169</f>
        <v>0</v>
      </c>
      <c r="I205" s="9" t="n">
        <f aca="false">Dummy_Variables!F169</f>
        <v>1</v>
      </c>
    </row>
    <row r="206" customFormat="false" ht="15" hidden="false" customHeight="true" outlineLevel="0" collapsed="false">
      <c r="A206" s="9" t="n">
        <f aca="false">Cleaned_Prepared_Data!M170</f>
        <v>780344.18</v>
      </c>
      <c r="B206" s="9" t="n">
        <f aca="false">Cleaned_Prepared_Data!F170</f>
        <v>8741</v>
      </c>
      <c r="C206" s="9" t="n">
        <f aca="false">Cleaned_Prepared_Data!E170</f>
        <v>65237.79</v>
      </c>
      <c r="D206" s="9" t="n">
        <f aca="false">Cleaned_Prepared_Data!I170</f>
        <v>94.4</v>
      </c>
      <c r="E206" s="9" t="n">
        <f aca="false">Cleaned_Prepared_Data!H170</f>
        <v>20</v>
      </c>
      <c r="F206" s="9" t="n">
        <f aca="false">Cleaned_Prepared_Data!G170</f>
        <v>0.157</v>
      </c>
      <c r="G206" s="9" t="n">
        <f aca="false">Dummy_Variables!D170</f>
        <v>0</v>
      </c>
      <c r="H206" s="9" t="n">
        <f aca="false">Dummy_Variables!E170</f>
        <v>0</v>
      </c>
      <c r="I206" s="9" t="n">
        <f aca="false">Dummy_Variables!F170</f>
        <v>1</v>
      </c>
    </row>
    <row r="207" customFormat="false" ht="15" hidden="false" customHeight="true" outlineLevel="0" collapsed="false">
      <c r="A207" s="9" t="n">
        <f aca="false">Cleaned_Prepared_Data!M171</f>
        <v>721364.11</v>
      </c>
      <c r="B207" s="9" t="n">
        <f aca="false">Cleaned_Prepared_Data!F171</f>
        <v>9480</v>
      </c>
      <c r="C207" s="9" t="n">
        <f aca="false">Cleaned_Prepared_Data!E171</f>
        <v>43645.98</v>
      </c>
      <c r="D207" s="9" t="n">
        <f aca="false">Cleaned_Prepared_Data!I171</f>
        <v>89</v>
      </c>
      <c r="E207" s="9" t="n">
        <f aca="false">Cleaned_Prepared_Data!H171</f>
        <v>22</v>
      </c>
      <c r="F207" s="9" t="n">
        <f aca="false">Cleaned_Prepared_Data!G171</f>
        <v>0.109</v>
      </c>
      <c r="G207" s="9" t="n">
        <f aca="false">Dummy_Variables!D171</f>
        <v>0</v>
      </c>
      <c r="H207" s="9" t="n">
        <f aca="false">Dummy_Variables!E171</f>
        <v>0</v>
      </c>
      <c r="I207" s="9" t="n">
        <f aca="false">Dummy_Variables!F171</f>
        <v>1</v>
      </c>
    </row>
    <row r="208" customFormat="false" ht="15" hidden="false" customHeight="true" outlineLevel="0" collapsed="false">
      <c r="A208" s="9" t="n">
        <f aca="false">Cleaned_Prepared_Data!M172</f>
        <v>758138.29</v>
      </c>
      <c r="B208" s="9" t="n">
        <f aca="false">Cleaned_Prepared_Data!F172</f>
        <v>9826</v>
      </c>
      <c r="C208" s="9" t="n">
        <f aca="false">Cleaned_Prepared_Data!E172</f>
        <v>68040.15</v>
      </c>
      <c r="D208" s="9" t="n">
        <f aca="false">Cleaned_Prepared_Data!I172</f>
        <v>83.9</v>
      </c>
      <c r="E208" s="9" t="n">
        <f aca="false">Cleaned_Prepared_Data!H172</f>
        <v>20</v>
      </c>
      <c r="F208" s="9" t="n">
        <f aca="false">Cleaned_Prepared_Data!G172</f>
        <v>0.125</v>
      </c>
      <c r="G208" s="9" t="n">
        <f aca="false">Dummy_Variables!D172</f>
        <v>0</v>
      </c>
      <c r="H208" s="9" t="n">
        <f aca="false">Dummy_Variables!E172</f>
        <v>0</v>
      </c>
      <c r="I208" s="9" t="n">
        <f aca="false">Dummy_Variables!F172</f>
        <v>1</v>
      </c>
    </row>
    <row r="209" customFormat="false" ht="15" hidden="false" customHeight="true" outlineLevel="0" collapsed="false">
      <c r="A209" s="9" t="n">
        <f aca="false">Cleaned_Prepared_Data!M173</f>
        <v>804264</v>
      </c>
      <c r="B209" s="9" t="n">
        <f aca="false">Cleaned_Prepared_Data!F173</f>
        <v>10402</v>
      </c>
      <c r="C209" s="9" t="n">
        <f aca="false">Cleaned_Prepared_Data!E173</f>
        <v>63043.94</v>
      </c>
      <c r="D209" s="9" t="n">
        <f aca="false">Cleaned_Prepared_Data!I173</f>
        <v>93.9</v>
      </c>
      <c r="E209" s="9" t="n">
        <f aca="false">Cleaned_Prepared_Data!H173</f>
        <v>23</v>
      </c>
      <c r="F209" s="9" t="n">
        <f aca="false">Cleaned_Prepared_Data!G173</f>
        <v>0.159</v>
      </c>
      <c r="G209" s="9" t="n">
        <f aca="false">Dummy_Variables!D173</f>
        <v>0</v>
      </c>
      <c r="H209" s="9" t="n">
        <f aca="false">Dummy_Variables!E173</f>
        <v>0</v>
      </c>
      <c r="I209" s="9" t="n">
        <f aca="false">Dummy_Variables!F173</f>
        <v>1</v>
      </c>
    </row>
    <row r="210" customFormat="false" ht="15" hidden="false" customHeight="true" outlineLevel="0" collapsed="false">
      <c r="A210" s="9" t="n">
        <f aca="false">Cleaned_Prepared_Data!M174</f>
        <v>887537.75</v>
      </c>
      <c r="B210" s="9" t="n">
        <f aca="false">Cleaned_Prepared_Data!F174</f>
        <v>12361</v>
      </c>
      <c r="C210" s="9" t="n">
        <f aca="false">Cleaned_Prepared_Data!E174</f>
        <v>67494.09</v>
      </c>
      <c r="D210" s="9" t="n">
        <f aca="false">Cleaned_Prepared_Data!I174</f>
        <v>76.6</v>
      </c>
      <c r="E210" s="9" t="n">
        <f aca="false">Cleaned_Prepared_Data!H174</f>
        <v>24</v>
      </c>
      <c r="F210" s="9" t="n">
        <f aca="false">Cleaned_Prepared_Data!G174</f>
        <v>0.046</v>
      </c>
      <c r="G210" s="9" t="n">
        <f aca="false">Dummy_Variables!D174</f>
        <v>1</v>
      </c>
      <c r="H210" s="9" t="n">
        <f aca="false">Dummy_Variables!E174</f>
        <v>0</v>
      </c>
      <c r="I210" s="9" t="n">
        <f aca="false">Dummy_Variables!F174</f>
        <v>0</v>
      </c>
    </row>
    <row r="211" customFormat="false" ht="15" hidden="false" customHeight="true" outlineLevel="0" collapsed="false">
      <c r="A211" s="9" t="n">
        <f aca="false">Cleaned_Prepared_Data!M175</f>
        <v>783582</v>
      </c>
      <c r="B211" s="9" t="n">
        <f aca="false">Cleaned_Prepared_Data!F175</f>
        <v>7925</v>
      </c>
      <c r="C211" s="9" t="n">
        <f aca="false">Cleaned_Prepared_Data!E175</f>
        <v>29389.32</v>
      </c>
      <c r="D211" s="9" t="n">
        <f aca="false">Cleaned_Prepared_Data!I175</f>
        <v>90.9</v>
      </c>
      <c r="E211" s="9" t="n">
        <f aca="false">Cleaned_Prepared_Data!H175</f>
        <v>21</v>
      </c>
      <c r="F211" s="9" t="n">
        <f aca="false">Cleaned_Prepared_Data!G175</f>
        <v>0.177</v>
      </c>
      <c r="G211" s="9" t="n">
        <f aca="false">Dummy_Variables!D175</f>
        <v>1</v>
      </c>
      <c r="H211" s="9" t="n">
        <f aca="false">Dummy_Variables!E175</f>
        <v>0</v>
      </c>
      <c r="I211" s="9" t="n">
        <f aca="false">Dummy_Variables!F175</f>
        <v>0</v>
      </c>
    </row>
    <row r="212" customFormat="false" ht="15" hidden="false" customHeight="true" outlineLevel="0" collapsed="false">
      <c r="A212" s="9" t="n">
        <f aca="false">Cleaned_Prepared_Data!M176</f>
        <v>781955.52</v>
      </c>
      <c r="B212" s="9" t="n">
        <f aca="false">Cleaned_Prepared_Data!F176</f>
        <v>8870</v>
      </c>
      <c r="C212" s="9" t="n">
        <f aca="false">Cleaned_Prepared_Data!E176</f>
        <v>40535.09</v>
      </c>
      <c r="D212" s="9" t="n">
        <f aca="false">Cleaned_Prepared_Data!I176</f>
        <v>86.6</v>
      </c>
      <c r="E212" s="9" t="n">
        <f aca="false">Cleaned_Prepared_Data!H176</f>
        <v>21</v>
      </c>
      <c r="F212" s="9" t="n">
        <f aca="false">Cleaned_Prepared_Data!G176</f>
        <v>0.041</v>
      </c>
      <c r="G212" s="9" t="n">
        <f aca="false">Dummy_Variables!D176</f>
        <v>1</v>
      </c>
      <c r="H212" s="9" t="n">
        <f aca="false">Dummy_Variables!E176</f>
        <v>0</v>
      </c>
      <c r="I212" s="9" t="n">
        <f aca="false">Dummy_Variables!F176</f>
        <v>0</v>
      </c>
    </row>
    <row r="213" customFormat="false" ht="15" hidden="false" customHeight="true" outlineLevel="0" collapsed="false">
      <c r="A213" s="9" t="n">
        <f aca="false">Cleaned_Prepared_Data!M177</f>
        <v>898031.04</v>
      </c>
      <c r="B213" s="9" t="n">
        <f aca="false">Cleaned_Prepared_Data!F177</f>
        <v>9999</v>
      </c>
      <c r="C213" s="9" t="n">
        <f aca="false">Cleaned_Prepared_Data!E177</f>
        <v>74881.56</v>
      </c>
      <c r="D213" s="9" t="n">
        <f aca="false">Cleaned_Prepared_Data!I177</f>
        <v>89.6</v>
      </c>
      <c r="E213" s="9" t="n">
        <f aca="false">Cleaned_Prepared_Data!H177</f>
        <v>20</v>
      </c>
      <c r="F213" s="9" t="n">
        <f aca="false">Cleaned_Prepared_Data!G177</f>
        <v>0.013</v>
      </c>
      <c r="G213" s="9" t="n">
        <f aca="false">Dummy_Variables!D177</f>
        <v>1</v>
      </c>
      <c r="H213" s="9" t="n">
        <f aca="false">Dummy_Variables!E177</f>
        <v>0</v>
      </c>
      <c r="I213" s="9" t="n">
        <f aca="false">Dummy_Variables!F177</f>
        <v>0</v>
      </c>
    </row>
    <row r="214" customFormat="false" ht="15" hidden="false" customHeight="true" outlineLevel="0" collapsed="false">
      <c r="A214" s="9" t="n">
        <f aca="false">Cleaned_Prepared_Data!M178</f>
        <v>855341.28</v>
      </c>
      <c r="B214" s="9" t="n">
        <f aca="false">Cleaned_Prepared_Data!F178</f>
        <v>11154</v>
      </c>
      <c r="C214" s="9" t="n">
        <f aca="false">Cleaned_Prepared_Data!E178</f>
        <v>68491.11</v>
      </c>
      <c r="D214" s="9" t="n">
        <f aca="false">Cleaned_Prepared_Data!I178</f>
        <v>89.4</v>
      </c>
      <c r="E214" s="9" t="n">
        <f aca="false">Cleaned_Prepared_Data!H178</f>
        <v>24</v>
      </c>
      <c r="F214" s="9" t="n">
        <f aca="false">Cleaned_Prepared_Data!G178</f>
        <v>0.001</v>
      </c>
      <c r="G214" s="9" t="n">
        <f aca="false">Dummy_Variables!D178</f>
        <v>0</v>
      </c>
      <c r="H214" s="9" t="n">
        <f aca="false">Dummy_Variables!E178</f>
        <v>0</v>
      </c>
      <c r="I214" s="9" t="n">
        <f aca="false">Dummy_Variables!F178</f>
        <v>1</v>
      </c>
    </row>
    <row r="215" customFormat="false" ht="15" hidden="false" customHeight="true" outlineLevel="0" collapsed="false">
      <c r="A215" s="9" t="n">
        <f aca="false">Cleaned_Prepared_Data!M179</f>
        <v>751393.88</v>
      </c>
      <c r="B215" s="9" t="n">
        <f aca="false">Cleaned_Prepared_Data!F179</f>
        <v>9287</v>
      </c>
      <c r="C215" s="9" t="n">
        <f aca="false">Cleaned_Prepared_Data!E179</f>
        <v>45209.25</v>
      </c>
      <c r="D215" s="9" t="n">
        <f aca="false">Cleaned_Prepared_Data!I179</f>
        <v>86.4</v>
      </c>
      <c r="E215" s="9" t="n">
        <f aca="false">Cleaned_Prepared_Data!H179</f>
        <v>22</v>
      </c>
      <c r="F215" s="9" t="n">
        <f aca="false">Cleaned_Prepared_Data!G179</f>
        <v>0.141</v>
      </c>
      <c r="G215" s="9" t="n">
        <f aca="false">Dummy_Variables!D179</f>
        <v>0</v>
      </c>
      <c r="H215" s="9" t="n">
        <f aca="false">Dummy_Variables!E179</f>
        <v>0</v>
      </c>
      <c r="I215" s="9" t="n">
        <f aca="false">Dummy_Variables!F179</f>
        <v>1</v>
      </c>
    </row>
    <row r="216" customFormat="false" ht="15" hidden="false" customHeight="true" outlineLevel="0" collapsed="false">
      <c r="A216" s="9" t="n">
        <f aca="false">Cleaned_Prepared_Data!M180</f>
        <v>761077.08</v>
      </c>
      <c r="B216" s="9" t="n">
        <f aca="false">Cleaned_Prepared_Data!F180</f>
        <v>9812</v>
      </c>
      <c r="C216" s="9" t="n">
        <f aca="false">Cleaned_Prepared_Data!E180</f>
        <v>63010.23</v>
      </c>
      <c r="D216" s="9" t="n">
        <f aca="false">Cleaned_Prepared_Data!I180</f>
        <v>76.8</v>
      </c>
      <c r="E216" s="9" t="n">
        <f aca="false">Cleaned_Prepared_Data!H180</f>
        <v>24</v>
      </c>
      <c r="F216" s="9" t="n">
        <f aca="false">Cleaned_Prepared_Data!G180</f>
        <v>0.113</v>
      </c>
      <c r="G216" s="9" t="n">
        <f aca="false">Dummy_Variables!D180</f>
        <v>0</v>
      </c>
      <c r="H216" s="9" t="n">
        <f aca="false">Dummy_Variables!E180</f>
        <v>0</v>
      </c>
      <c r="I216" s="9" t="n">
        <f aca="false">Dummy_Variables!F180</f>
        <v>1</v>
      </c>
    </row>
    <row r="217" customFormat="false" ht="15" hidden="false" customHeight="true" outlineLevel="0" collapsed="false">
      <c r="A217" s="9" t="n">
        <f aca="false">Cleaned_Prepared_Data!M181</f>
        <v>819660.59</v>
      </c>
      <c r="B217" s="9" t="n">
        <f aca="false">Cleaned_Prepared_Data!F181</f>
        <v>10741</v>
      </c>
      <c r="C217" s="9" t="n">
        <f aca="false">Cleaned_Prepared_Data!E181</f>
        <v>57948.88</v>
      </c>
      <c r="D217" s="9" t="n">
        <f aca="false">Cleaned_Prepared_Data!I181</f>
        <v>90.1</v>
      </c>
      <c r="E217" s="9" t="n">
        <f aca="false">Cleaned_Prepared_Data!H181</f>
        <v>25</v>
      </c>
      <c r="F217" s="9" t="n">
        <f aca="false">Cleaned_Prepared_Data!G181</f>
        <v>0.07</v>
      </c>
      <c r="G217" s="9" t="n">
        <f aca="false">Dummy_Variables!D181</f>
        <v>0</v>
      </c>
      <c r="H217" s="9" t="n">
        <f aca="false">Dummy_Variables!E181</f>
        <v>0</v>
      </c>
      <c r="I217" s="9" t="n">
        <f aca="false">Dummy_Variables!F181</f>
        <v>1</v>
      </c>
    </row>
    <row r="218" customFormat="false" ht="15" hidden="false" customHeight="true" outlineLevel="0" collapsed="false">
      <c r="A218" s="9" t="n">
        <f aca="false">Cleaned_Prepared_Data!M182</f>
        <v>681855.56</v>
      </c>
      <c r="B218" s="9" t="n">
        <f aca="false">Cleaned_Prepared_Data!F182</f>
        <v>6084</v>
      </c>
      <c r="C218" s="9" t="n">
        <f aca="false">Cleaned_Prepared_Data!E182</f>
        <v>71941.62</v>
      </c>
      <c r="D218" s="9" t="n">
        <f aca="false">Cleaned_Prepared_Data!I182</f>
        <v>93.7</v>
      </c>
      <c r="E218" s="9" t="n">
        <f aca="false">Cleaned_Prepared_Data!H182</f>
        <v>13</v>
      </c>
      <c r="F218" s="9" t="n">
        <f aca="false">Cleaned_Prepared_Data!G182</f>
        <v>0.072</v>
      </c>
      <c r="G218" s="9" t="n">
        <f aca="false">Dummy_Variables!D182</f>
        <v>0</v>
      </c>
      <c r="H218" s="9" t="n">
        <f aca="false">Dummy_Variables!E182</f>
        <v>0</v>
      </c>
      <c r="I218" s="9" t="n">
        <f aca="false">Dummy_Variables!F182</f>
        <v>0</v>
      </c>
    </row>
    <row r="219" customFormat="false" ht="15" hidden="false" customHeight="true" outlineLevel="0" collapsed="false">
      <c r="A219" s="9" t="n">
        <f aca="false">Cleaned_Prepared_Data!M183</f>
        <v>678311.17</v>
      </c>
      <c r="B219" s="9" t="n">
        <f aca="false">Cleaned_Prepared_Data!F183</f>
        <v>5252</v>
      </c>
      <c r="C219" s="9" t="n">
        <f aca="false">Cleaned_Prepared_Data!E183</f>
        <v>57147.88</v>
      </c>
      <c r="D219" s="9" t="n">
        <f aca="false">Cleaned_Prepared_Data!I183</f>
        <v>95.5</v>
      </c>
      <c r="E219" s="9" t="n">
        <f aca="false">Cleaned_Prepared_Data!H183</f>
        <v>15</v>
      </c>
      <c r="F219" s="9" t="n">
        <f aca="false">Cleaned_Prepared_Data!G183</f>
        <v>0.161</v>
      </c>
      <c r="G219" s="9" t="n">
        <f aca="false">Dummy_Variables!D183</f>
        <v>0</v>
      </c>
      <c r="H219" s="9" t="n">
        <f aca="false">Dummy_Variables!E183</f>
        <v>0</v>
      </c>
      <c r="I219" s="9" t="n">
        <f aca="false">Dummy_Variables!F183</f>
        <v>0</v>
      </c>
    </row>
    <row r="220" customFormat="false" ht="15" hidden="false" customHeight="true" outlineLevel="0" collapsed="false">
      <c r="A220" s="9" t="n">
        <f aca="false">Cleaned_Prepared_Data!M184</f>
        <v>765906.95</v>
      </c>
      <c r="B220" s="9" t="n">
        <f aca="false">Cleaned_Prepared_Data!F184</f>
        <v>6516</v>
      </c>
      <c r="C220" s="9" t="n">
        <f aca="false">Cleaned_Prepared_Data!E184</f>
        <v>48031.74</v>
      </c>
      <c r="D220" s="9" t="n">
        <f aca="false">Cleaned_Prepared_Data!I184</f>
        <v>99</v>
      </c>
      <c r="E220" s="9" t="n">
        <f aca="false">Cleaned_Prepared_Data!H184</f>
        <v>14</v>
      </c>
      <c r="F220" s="9" t="n">
        <f aca="false">Cleaned_Prepared_Data!G184</f>
        <v>0.067</v>
      </c>
      <c r="G220" s="9" t="n">
        <f aca="false">Dummy_Variables!D184</f>
        <v>0</v>
      </c>
      <c r="H220" s="9" t="n">
        <f aca="false">Dummy_Variables!E184</f>
        <v>0</v>
      </c>
      <c r="I220" s="9" t="n">
        <f aca="false">Dummy_Variables!F184</f>
        <v>0</v>
      </c>
    </row>
    <row r="221" customFormat="false" ht="15" hidden="false" customHeight="true" outlineLevel="0" collapsed="false">
      <c r="A221" s="9" t="n">
        <f aca="false">Cleaned_Prepared_Data!M185</f>
        <v>712546.38</v>
      </c>
      <c r="B221" s="9" t="n">
        <f aca="false">Cleaned_Prepared_Data!F185</f>
        <v>7932</v>
      </c>
      <c r="C221" s="9" t="n">
        <f aca="false">Cleaned_Prepared_Data!E185</f>
        <v>72784.8</v>
      </c>
      <c r="D221" s="9" t="n">
        <f aca="false">Cleaned_Prepared_Data!I185</f>
        <v>74.9</v>
      </c>
      <c r="E221" s="9" t="n">
        <f aca="false">Cleaned_Prepared_Data!H185</f>
        <v>20</v>
      </c>
      <c r="F221" s="9" t="n">
        <f aca="false">Cleaned_Prepared_Data!G185</f>
        <v>0.094</v>
      </c>
      <c r="G221" s="9" t="n">
        <f aca="false">Dummy_Variables!D185</f>
        <v>0</v>
      </c>
      <c r="H221" s="9" t="n">
        <f aca="false">Dummy_Variables!E185</f>
        <v>0</v>
      </c>
      <c r="I221" s="9" t="n">
        <f aca="false">Dummy_Variables!F185</f>
        <v>0</v>
      </c>
    </row>
    <row r="222" customFormat="false" ht="15" hidden="false" customHeight="true" outlineLevel="0" collapsed="false">
      <c r="A222" s="9" t="n">
        <f aca="false">Cleaned_Prepared_Data!M186</f>
        <v>625993.83</v>
      </c>
      <c r="B222" s="9" t="n">
        <f aca="false">Cleaned_Prepared_Data!F186</f>
        <v>3506</v>
      </c>
      <c r="C222" s="9" t="n">
        <f aca="false">Cleaned_Prepared_Data!E186</f>
        <v>71641.9</v>
      </c>
      <c r="D222" s="9" t="n">
        <f aca="false">Cleaned_Prepared_Data!I186</f>
        <v>86.4</v>
      </c>
      <c r="E222" s="9" t="n">
        <f aca="false">Cleaned_Prepared_Data!H186</f>
        <v>11</v>
      </c>
      <c r="F222" s="9" t="n">
        <f aca="false">Cleaned_Prepared_Data!G186</f>
        <v>0</v>
      </c>
      <c r="G222" s="9" t="n">
        <f aca="false">Dummy_Variables!D186</f>
        <v>0</v>
      </c>
      <c r="H222" s="9" t="n">
        <f aca="false">Dummy_Variables!E186</f>
        <v>0</v>
      </c>
      <c r="I222" s="9" t="n">
        <f aca="false">Dummy_Variables!F186</f>
        <v>0</v>
      </c>
    </row>
    <row r="223" customFormat="false" ht="15" hidden="false" customHeight="true" outlineLevel="0" collapsed="false">
      <c r="A223" s="9" t="n">
        <f aca="false">Cleaned_Prepared_Data!M187</f>
        <v>550962.93</v>
      </c>
      <c r="B223" s="9" t="n">
        <f aca="false">Cleaned_Prepared_Data!F187</f>
        <v>2312</v>
      </c>
      <c r="C223" s="9" t="n">
        <f aca="false">Cleaned_Prepared_Data!E187</f>
        <v>55788.61</v>
      </c>
      <c r="D223" s="9" t="n">
        <f aca="false">Cleaned_Prepared_Data!I187</f>
        <v>91.3</v>
      </c>
      <c r="E223" s="9" t="n">
        <f aca="false">Cleaned_Prepared_Data!H187</f>
        <v>10</v>
      </c>
      <c r="F223" s="9" t="n">
        <f aca="false">Cleaned_Prepared_Data!G187</f>
        <v>0.058</v>
      </c>
      <c r="G223" s="9" t="n">
        <f aca="false">Dummy_Variables!D187</f>
        <v>0</v>
      </c>
      <c r="H223" s="9" t="n">
        <f aca="false">Dummy_Variables!E187</f>
        <v>0</v>
      </c>
      <c r="I223" s="9" t="n">
        <f aca="false">Dummy_Variables!F187</f>
        <v>0</v>
      </c>
    </row>
    <row r="224" customFormat="false" ht="15" hidden="false" customHeight="true" outlineLevel="0" collapsed="false">
      <c r="A224" s="9" t="n">
        <f aca="false">Cleaned_Prepared_Data!M188</f>
        <v>443275.59</v>
      </c>
      <c r="B224" s="9" t="n">
        <f aca="false">Cleaned_Prepared_Data!F188</f>
        <v>1268</v>
      </c>
      <c r="C224" s="9" t="n">
        <f aca="false">Cleaned_Prepared_Data!E188</f>
        <v>37705.88</v>
      </c>
      <c r="D224" s="9" t="n">
        <f aca="false">Cleaned_Prepared_Data!I188</f>
        <v>84.1</v>
      </c>
      <c r="E224" s="9" t="n">
        <f aca="false">Cleaned_Prepared_Data!H188</f>
        <v>9</v>
      </c>
      <c r="F224" s="9" t="n">
        <f aca="false">Cleaned_Prepared_Data!G188</f>
        <v>0.259</v>
      </c>
      <c r="G224" s="9" t="n">
        <f aca="false">Dummy_Variables!D188</f>
        <v>0</v>
      </c>
      <c r="H224" s="9" t="n">
        <f aca="false">Dummy_Variables!E188</f>
        <v>0</v>
      </c>
      <c r="I224" s="9" t="n">
        <f aca="false">Dummy_Variables!F188</f>
        <v>0</v>
      </c>
    </row>
    <row r="225" customFormat="false" ht="15" hidden="false" customHeight="true" outlineLevel="0" collapsed="false">
      <c r="A225" s="9" t="n">
        <f aca="false">Cleaned_Prepared_Data!M189</f>
        <v>554012.07</v>
      </c>
      <c r="B225" s="9" t="n">
        <f aca="false">Cleaned_Prepared_Data!F189</f>
        <v>4423</v>
      </c>
      <c r="C225" s="9" t="n">
        <f aca="false">Cleaned_Prepared_Data!E189</f>
        <v>54966.18</v>
      </c>
      <c r="D225" s="9" t="n">
        <f aca="false">Cleaned_Prepared_Data!I189</f>
        <v>88.7</v>
      </c>
      <c r="E225" s="9" t="n">
        <f aca="false">Cleaned_Prepared_Data!H189</f>
        <v>13</v>
      </c>
      <c r="F225" s="9" t="n">
        <f aca="false">Cleaned_Prepared_Data!G189</f>
        <v>0.186</v>
      </c>
      <c r="G225" s="9" t="n">
        <f aca="false">Dummy_Variables!D189</f>
        <v>0</v>
      </c>
      <c r="H225" s="9" t="n">
        <f aca="false">Dummy_Variables!E189</f>
        <v>0</v>
      </c>
      <c r="I225" s="9" t="n">
        <f aca="false">Dummy_Variables!F189</f>
        <v>0</v>
      </c>
    </row>
    <row r="226" customFormat="false" ht="15" hidden="false" customHeight="true" outlineLevel="0" collapsed="false">
      <c r="A226" s="9" t="n">
        <f aca="false">Cleaned_Prepared_Data!M190</f>
        <v>643428.85</v>
      </c>
      <c r="B226" s="9" t="n">
        <f aca="false">Cleaned_Prepared_Data!F190</f>
        <v>6177</v>
      </c>
      <c r="C226" s="9" t="n">
        <f aca="false">Cleaned_Prepared_Data!E190</f>
        <v>81796.74</v>
      </c>
      <c r="D226" s="9" t="n">
        <f aca="false">Cleaned_Prepared_Data!I190</f>
        <v>87.9</v>
      </c>
      <c r="E226" s="9" t="n">
        <f aca="false">Cleaned_Prepared_Data!H190</f>
        <v>14</v>
      </c>
      <c r="F226" s="9" t="n">
        <f aca="false">Cleaned_Prepared_Data!G190</f>
        <v>0.164</v>
      </c>
      <c r="G226" s="9" t="n">
        <f aca="false">Dummy_Variables!D190</f>
        <v>0</v>
      </c>
      <c r="H226" s="9" t="n">
        <f aca="false">Dummy_Variables!E190</f>
        <v>0</v>
      </c>
      <c r="I226" s="9" t="n">
        <f aca="false">Dummy_Variables!F190</f>
        <v>1</v>
      </c>
    </row>
    <row r="227" customFormat="false" ht="15" hidden="false" customHeight="true" outlineLevel="0" collapsed="false">
      <c r="A227" s="9" t="n">
        <f aca="false">Cleaned_Prepared_Data!M191</f>
        <v>611924.27</v>
      </c>
      <c r="B227" s="9" t="n">
        <f aca="false">Cleaned_Prepared_Data!F191</f>
        <v>5150</v>
      </c>
      <c r="C227" s="9" t="n">
        <f aca="false">Cleaned_Prepared_Data!E191</f>
        <v>51133.43</v>
      </c>
      <c r="D227" s="9" t="n">
        <f aca="false">Cleaned_Prepared_Data!I191</f>
        <v>88.5</v>
      </c>
      <c r="E227" s="9" t="n">
        <f aca="false">Cleaned_Prepared_Data!H191</f>
        <v>12</v>
      </c>
      <c r="F227" s="9" t="n">
        <f aca="false">Cleaned_Prepared_Data!G191</f>
        <v>0.15</v>
      </c>
      <c r="G227" s="9" t="n">
        <f aca="false">Dummy_Variables!D191</f>
        <v>0</v>
      </c>
      <c r="H227" s="9" t="n">
        <f aca="false">Dummy_Variables!E191</f>
        <v>0</v>
      </c>
      <c r="I227" s="9" t="n">
        <f aca="false">Dummy_Variables!F191</f>
        <v>1</v>
      </c>
    </row>
    <row r="228" customFormat="false" ht="15" hidden="false" customHeight="true" outlineLevel="0" collapsed="false">
      <c r="A228" s="9" t="n">
        <f aca="false">Cleaned_Prepared_Data!M192</f>
        <v>559422.02</v>
      </c>
      <c r="B228" s="9" t="n">
        <f aca="false">Cleaned_Prepared_Data!F192</f>
        <v>3783</v>
      </c>
      <c r="C228" s="9" t="n">
        <f aca="false">Cleaned_Prepared_Data!E192</f>
        <v>40220.18</v>
      </c>
      <c r="D228" s="9" t="n">
        <f aca="false">Cleaned_Prepared_Data!I192</f>
        <v>86.6</v>
      </c>
      <c r="E228" s="9" t="n">
        <f aca="false">Cleaned_Prepared_Data!H192</f>
        <v>14</v>
      </c>
      <c r="F228" s="9" t="n">
        <f aca="false">Cleaned_Prepared_Data!G192</f>
        <v>0.089</v>
      </c>
      <c r="G228" s="9" t="n">
        <f aca="false">Dummy_Variables!D192</f>
        <v>0</v>
      </c>
      <c r="H228" s="9" t="n">
        <f aca="false">Dummy_Variables!E192</f>
        <v>0</v>
      </c>
      <c r="I228" s="9" t="n">
        <f aca="false">Dummy_Variables!F192</f>
        <v>1</v>
      </c>
    </row>
    <row r="229" customFormat="false" ht="15" hidden="false" customHeight="true" outlineLevel="0" collapsed="false">
      <c r="A229" s="9" t="n">
        <f aca="false">Cleaned_Prepared_Data!M193</f>
        <v>691447.43</v>
      </c>
      <c r="B229" s="9" t="n">
        <f aca="false">Cleaned_Prepared_Data!F193</f>
        <v>4970</v>
      </c>
      <c r="C229" s="9" t="n">
        <f aca="false">Cleaned_Prepared_Data!E193</f>
        <v>71851.45</v>
      </c>
      <c r="D229" s="9" t="n">
        <f aca="false">Cleaned_Prepared_Data!I193</f>
        <v>89.6</v>
      </c>
      <c r="E229" s="9" t="n">
        <f aca="false">Cleaned_Prepared_Data!H193</f>
        <v>11</v>
      </c>
      <c r="F229" s="9" t="n">
        <f aca="false">Cleaned_Prepared_Data!G193</f>
        <v>0.098</v>
      </c>
      <c r="G229" s="9" t="n">
        <f aca="false">Dummy_Variables!D193</f>
        <v>0</v>
      </c>
      <c r="H229" s="9" t="n">
        <f aca="false">Dummy_Variables!E193</f>
        <v>0</v>
      </c>
      <c r="I229" s="9" t="n">
        <f aca="false">Dummy_Variables!F193</f>
        <v>1</v>
      </c>
    </row>
    <row r="230" customFormat="false" ht="15" hidden="false" customHeight="true" outlineLevel="0" collapsed="false">
      <c r="A230" s="9" t="n">
        <f aca="false">Cleaned_Prepared_Data!M194</f>
        <v>574066.61</v>
      </c>
      <c r="B230" s="9" t="n">
        <f aca="false">Cleaned_Prepared_Data!F194</f>
        <v>4366</v>
      </c>
      <c r="C230" s="9" t="n">
        <f aca="false">Cleaned_Prepared_Data!E194</f>
        <v>54002.83</v>
      </c>
      <c r="D230" s="9" t="n">
        <f aca="false">Cleaned_Prepared_Data!I194</f>
        <v>90.6</v>
      </c>
      <c r="E230" s="9" t="n">
        <f aca="false">Cleaned_Prepared_Data!H194</f>
        <v>15</v>
      </c>
      <c r="F230" s="9" t="n">
        <f aca="false">Cleaned_Prepared_Data!G194</f>
        <v>0.027</v>
      </c>
      <c r="G230" s="9" t="n">
        <f aca="false">Dummy_Variables!D194</f>
        <v>0</v>
      </c>
      <c r="H230" s="9" t="n">
        <f aca="false">Dummy_Variables!E194</f>
        <v>0</v>
      </c>
      <c r="I230" s="9" t="n">
        <f aca="false">Dummy_Variables!F194</f>
        <v>1</v>
      </c>
    </row>
    <row r="231" customFormat="false" ht="15" hidden="false" customHeight="true" outlineLevel="0" collapsed="false">
      <c r="A231" s="9" t="n">
        <f aca="false">Cleaned_Prepared_Data!M195</f>
        <v>578949.84</v>
      </c>
      <c r="B231" s="9" t="n">
        <f aca="false">Cleaned_Prepared_Data!F195</f>
        <v>5012</v>
      </c>
      <c r="C231" s="9" t="n">
        <f aca="false">Cleaned_Prepared_Data!E195</f>
        <v>54479.33</v>
      </c>
      <c r="D231" s="9" t="n">
        <f aca="false">Cleaned_Prepared_Data!I195</f>
        <v>86</v>
      </c>
      <c r="E231" s="9" t="n">
        <f aca="false">Cleaned_Prepared_Data!H195</f>
        <v>13</v>
      </c>
      <c r="F231" s="9" t="n">
        <f aca="false">Cleaned_Prepared_Data!G195</f>
        <v>0.284</v>
      </c>
      <c r="G231" s="9" t="n">
        <f aca="false">Dummy_Variables!D195</f>
        <v>0</v>
      </c>
      <c r="H231" s="9" t="n">
        <f aca="false">Dummy_Variables!E195</f>
        <v>0</v>
      </c>
      <c r="I231" s="9" t="n">
        <f aca="false">Dummy_Variables!F195</f>
        <v>1</v>
      </c>
    </row>
    <row r="232" customFormat="false" ht="15" hidden="false" customHeight="true" outlineLevel="0" collapsed="false">
      <c r="A232" s="9" t="n">
        <f aca="false">Cleaned_Prepared_Data!M196</f>
        <v>735786.64</v>
      </c>
      <c r="B232" s="9" t="n">
        <f aca="false">Cleaned_Prepared_Data!F196</f>
        <v>5575</v>
      </c>
      <c r="C232" s="9" t="n">
        <f aca="false">Cleaned_Prepared_Data!E196</f>
        <v>61391.8</v>
      </c>
      <c r="D232" s="9" t="n">
        <f aca="false">Cleaned_Prepared_Data!I196</f>
        <v>90</v>
      </c>
      <c r="E232" s="9" t="n">
        <f aca="false">Cleaned_Prepared_Data!H196</f>
        <v>18</v>
      </c>
      <c r="F232" s="9" t="n">
        <f aca="false">Cleaned_Prepared_Data!G196</f>
        <v>0.189</v>
      </c>
      <c r="G232" s="9" t="n">
        <f aca="false">Dummy_Variables!D196</f>
        <v>0</v>
      </c>
      <c r="H232" s="9" t="n">
        <f aca="false">Dummy_Variables!E196</f>
        <v>0</v>
      </c>
      <c r="I232" s="9" t="n">
        <f aca="false">Dummy_Variables!F196</f>
        <v>1</v>
      </c>
    </row>
    <row r="233" customFormat="false" ht="15" hidden="false" customHeight="true" outlineLevel="0" collapsed="false">
      <c r="A233" s="9" t="n">
        <f aca="false">Cleaned_Prepared_Data!M197</f>
        <v>598904.9</v>
      </c>
      <c r="B233" s="9" t="n">
        <f aca="false">Cleaned_Prepared_Data!F197</f>
        <v>5955</v>
      </c>
      <c r="C233" s="9" t="n">
        <f aca="false">Cleaned_Prepared_Data!E197</f>
        <v>22312.93</v>
      </c>
      <c r="D233" s="9" t="n">
        <f aca="false">Cleaned_Prepared_Data!I197</f>
        <v>84.2</v>
      </c>
      <c r="E233" s="9" t="n">
        <f aca="false">Cleaned_Prepared_Data!H197</f>
        <v>13</v>
      </c>
      <c r="F233" s="9" t="n">
        <f aca="false">Cleaned_Prepared_Data!G197</f>
        <v>0.123</v>
      </c>
      <c r="G233" s="9" t="n">
        <f aca="false">Dummy_Variables!D197</f>
        <v>1</v>
      </c>
      <c r="H233" s="9" t="n">
        <f aca="false">Dummy_Variables!E197</f>
        <v>0</v>
      </c>
      <c r="I233" s="9" t="n">
        <f aca="false">Dummy_Variables!F197</f>
        <v>0</v>
      </c>
    </row>
    <row r="234" customFormat="false" ht="15" hidden="false" customHeight="true" outlineLevel="0" collapsed="false">
      <c r="A234" s="9" t="n">
        <f aca="false">Cleaned_Prepared_Data!M198</f>
        <v>787715.51</v>
      </c>
      <c r="B234" s="9" t="n">
        <f aca="false">Cleaned_Prepared_Data!F198</f>
        <v>6389</v>
      </c>
      <c r="C234" s="9" t="n">
        <f aca="false">Cleaned_Prepared_Data!E198</f>
        <v>78111.97</v>
      </c>
      <c r="D234" s="9" t="n">
        <f aca="false">Cleaned_Prepared_Data!I198</f>
        <v>83.9</v>
      </c>
      <c r="E234" s="9" t="n">
        <f aca="false">Cleaned_Prepared_Data!H198</f>
        <v>13</v>
      </c>
      <c r="F234" s="9" t="n">
        <f aca="false">Cleaned_Prepared_Data!G198</f>
        <v>0.15</v>
      </c>
      <c r="G234" s="9" t="n">
        <f aca="false">Dummy_Variables!D198</f>
        <v>1</v>
      </c>
      <c r="H234" s="9" t="n">
        <f aca="false">Dummy_Variables!E198</f>
        <v>0</v>
      </c>
      <c r="I234" s="9" t="n">
        <f aca="false">Dummy_Variables!F198</f>
        <v>0</v>
      </c>
    </row>
    <row r="235" customFormat="false" ht="15" hidden="false" customHeight="true" outlineLevel="0" collapsed="false">
      <c r="A235" s="9" t="n">
        <f aca="false">Cleaned_Prepared_Data!M199</f>
        <v>607084.92</v>
      </c>
      <c r="B235" s="9" t="n">
        <f aca="false">Cleaned_Prepared_Data!F199</f>
        <v>6896</v>
      </c>
      <c r="C235" s="9" t="n">
        <f aca="false">Cleaned_Prepared_Data!E199</f>
        <v>35203.23</v>
      </c>
      <c r="D235" s="9" t="n">
        <f aca="false">Cleaned_Prepared_Data!I199</f>
        <v>80.8</v>
      </c>
      <c r="E235" s="9" t="n">
        <f aca="false">Cleaned_Prepared_Data!H199</f>
        <v>14</v>
      </c>
      <c r="F235" s="9" t="n">
        <f aca="false">Cleaned_Prepared_Data!G199</f>
        <v>0.032</v>
      </c>
      <c r="G235" s="9" t="n">
        <f aca="false">Dummy_Variables!D199</f>
        <v>1</v>
      </c>
      <c r="H235" s="9" t="n">
        <f aca="false">Dummy_Variables!E199</f>
        <v>0</v>
      </c>
      <c r="I235" s="9" t="n">
        <f aca="false">Dummy_Variables!F199</f>
        <v>0</v>
      </c>
    </row>
    <row r="236" customFormat="false" ht="15" hidden="false" customHeight="true" outlineLevel="0" collapsed="false">
      <c r="A236" s="9" t="n">
        <f aca="false">Cleaned_Prepared_Data!M200</f>
        <v>650795.49</v>
      </c>
      <c r="B236" s="9" t="n">
        <f aca="false">Cleaned_Prepared_Data!F200</f>
        <v>6015</v>
      </c>
      <c r="C236" s="9" t="n">
        <f aca="false">Cleaned_Prepared_Data!E200</f>
        <v>64104.28</v>
      </c>
      <c r="D236" s="9" t="n">
        <f aca="false">Cleaned_Prepared_Data!I200</f>
        <v>88.7</v>
      </c>
      <c r="E236" s="9" t="n">
        <f aca="false">Cleaned_Prepared_Data!H200</f>
        <v>15</v>
      </c>
      <c r="F236" s="9" t="n">
        <f aca="false">Cleaned_Prepared_Data!G200</f>
        <v>0.127</v>
      </c>
      <c r="G236" s="9" t="n">
        <f aca="false">Dummy_Variables!D200</f>
        <v>1</v>
      </c>
      <c r="H236" s="9" t="n">
        <f aca="false">Dummy_Variables!E200</f>
        <v>0</v>
      </c>
      <c r="I236" s="9" t="n">
        <f aca="false">Dummy_Variables!F200</f>
        <v>0</v>
      </c>
    </row>
    <row r="237" customFormat="false" ht="15" hidden="false" customHeight="true" outlineLevel="0" collapsed="false">
      <c r="A237" s="9" t="n">
        <f aca="false">Cleaned_Prepared_Data!M201</f>
        <v>825060.52</v>
      </c>
      <c r="B237" s="9" t="n">
        <f aca="false">Cleaned_Prepared_Data!F201</f>
        <v>9476</v>
      </c>
      <c r="C237" s="9" t="n">
        <f aca="false">Cleaned_Prepared_Data!E201</f>
        <v>92090.14</v>
      </c>
      <c r="D237" s="9" t="n">
        <f aca="false">Cleaned_Prepared_Data!I201</f>
        <v>94.3</v>
      </c>
      <c r="E237" s="9" t="n">
        <f aca="false">Cleaned_Prepared_Data!H201</f>
        <v>24</v>
      </c>
      <c r="F237" s="9" t="n">
        <f aca="false">Cleaned_Prepared_Data!G201</f>
        <v>0.07</v>
      </c>
      <c r="G237" s="9" t="n">
        <f aca="false">Dummy_Variables!D201</f>
        <v>0</v>
      </c>
      <c r="H237" s="9" t="n">
        <f aca="false">Dummy_Variables!E201</f>
        <v>1</v>
      </c>
      <c r="I237" s="9" t="n">
        <f aca="false">Dummy_Variables!F201</f>
        <v>0</v>
      </c>
    </row>
    <row r="238" customFormat="false" ht="15" hidden="false" customHeight="true" outlineLevel="0" collapsed="false">
      <c r="A238" s="9" t="n">
        <f aca="false">Cleaned_Prepared_Data!M202</f>
        <v>795464.47</v>
      </c>
      <c r="B238" s="9" t="n">
        <f aca="false">Cleaned_Prepared_Data!F202</f>
        <v>7875</v>
      </c>
      <c r="C238" s="9" t="n">
        <f aca="false">Cleaned_Prepared_Data!E202</f>
        <v>54300.87</v>
      </c>
      <c r="D238" s="9" t="n">
        <f aca="false">Cleaned_Prepared_Data!I202</f>
        <v>94.1</v>
      </c>
      <c r="E238" s="9" t="n">
        <f aca="false">Cleaned_Prepared_Data!H202</f>
        <v>19</v>
      </c>
      <c r="F238" s="9" t="n">
        <f aca="false">Cleaned_Prepared_Data!G202</f>
        <v>0.107</v>
      </c>
      <c r="G238" s="9" t="n">
        <f aca="false">Dummy_Variables!D202</f>
        <v>0</v>
      </c>
      <c r="H238" s="9" t="n">
        <f aca="false">Dummy_Variables!E202</f>
        <v>1</v>
      </c>
      <c r="I238" s="9" t="n">
        <f aca="false">Dummy_Variables!F202</f>
        <v>0</v>
      </c>
    </row>
    <row r="239" customFormat="false" ht="15" hidden="false" customHeight="true" outlineLevel="0" collapsed="false">
      <c r="A239" s="9" t="n">
        <f aca="false">Cleaned_Prepared_Data!M203</f>
        <v>671868.59</v>
      </c>
      <c r="B239" s="9" t="n">
        <f aca="false">Cleaned_Prepared_Data!F203</f>
        <v>9283</v>
      </c>
      <c r="C239" s="9" t="n">
        <f aca="false">Cleaned_Prepared_Data!E203</f>
        <v>37983.35</v>
      </c>
      <c r="D239" s="9" t="n">
        <f aca="false">Cleaned_Prepared_Data!I203</f>
        <v>83.2</v>
      </c>
      <c r="E239" s="9" t="n">
        <f aca="false">Cleaned_Prepared_Data!H203</f>
        <v>19</v>
      </c>
      <c r="F239" s="9" t="n">
        <f aca="false">Cleaned_Prepared_Data!G203</f>
        <v>0.149</v>
      </c>
      <c r="G239" s="9" t="n">
        <f aca="false">Dummy_Variables!D203</f>
        <v>0</v>
      </c>
      <c r="H239" s="9" t="n">
        <f aca="false">Dummy_Variables!E203</f>
        <v>1</v>
      </c>
      <c r="I239" s="9" t="n">
        <f aca="false">Dummy_Variables!F203</f>
        <v>0</v>
      </c>
    </row>
    <row r="240" customFormat="false" ht="15" hidden="false" customHeight="true" outlineLevel="0" collapsed="false">
      <c r="A240" s="9" t="n">
        <f aca="false">Cleaned_Prepared_Data!M204</f>
        <v>675917.63</v>
      </c>
      <c r="B240" s="9" t="n">
        <f aca="false">Cleaned_Prepared_Data!F204</f>
        <v>8303</v>
      </c>
      <c r="C240" s="9" t="n">
        <f aca="false">Cleaned_Prepared_Data!E204</f>
        <v>56413.83</v>
      </c>
      <c r="D240" s="9" t="n">
        <f aca="false">Cleaned_Prepared_Data!I204</f>
        <v>93.6</v>
      </c>
      <c r="E240" s="9" t="n">
        <f aca="false">Cleaned_Prepared_Data!H204</f>
        <v>18</v>
      </c>
      <c r="F240" s="9" t="n">
        <f aca="false">Cleaned_Prepared_Data!G204</f>
        <v>0.116</v>
      </c>
      <c r="G240" s="9" t="n">
        <f aca="false">Dummy_Variables!D204</f>
        <v>0</v>
      </c>
      <c r="H240" s="9" t="n">
        <f aca="false">Dummy_Variables!E204</f>
        <v>1</v>
      </c>
      <c r="I240" s="9" t="n">
        <f aca="false">Dummy_Variables!F204</f>
        <v>0</v>
      </c>
    </row>
    <row r="241" customFormat="false" ht="15" hidden="false" customHeight="true" outlineLevel="0" collapsed="false">
      <c r="A241" s="9" t="n">
        <f aca="false">Cleaned_Prepared_Data!M205</f>
        <v>810446.53</v>
      </c>
      <c r="B241" s="9" t="n">
        <f aca="false">Cleaned_Prepared_Data!F205</f>
        <v>10125</v>
      </c>
      <c r="C241" s="9" t="n">
        <f aca="false">Cleaned_Prepared_Data!E205</f>
        <v>63457.19</v>
      </c>
      <c r="D241" s="9" t="n">
        <f aca="false">Cleaned_Prepared_Data!I205</f>
        <v>87</v>
      </c>
      <c r="E241" s="9" t="n">
        <f aca="false">Cleaned_Prepared_Data!H205</f>
        <v>24</v>
      </c>
      <c r="F241" s="9" t="n">
        <f aca="false">Cleaned_Prepared_Data!G205</f>
        <v>0.097</v>
      </c>
      <c r="G241" s="9" t="n">
        <f aca="false">Dummy_Variables!D205</f>
        <v>0</v>
      </c>
      <c r="H241" s="9" t="n">
        <f aca="false">Dummy_Variables!E205</f>
        <v>0</v>
      </c>
      <c r="I241" s="9" t="n">
        <f aca="false">Dummy_Variables!F205</f>
        <v>0</v>
      </c>
    </row>
    <row r="242" customFormat="false" ht="15" hidden="false" customHeight="true" outlineLevel="0" collapsed="false">
      <c r="A242" s="9" t="n">
        <f aca="false">Cleaned_Prepared_Data!M206</f>
        <v>691288.19</v>
      </c>
      <c r="B242" s="9" t="n">
        <f aca="false">Cleaned_Prepared_Data!F206</f>
        <v>9458</v>
      </c>
      <c r="C242" s="9" t="n">
        <f aca="false">Cleaned_Prepared_Data!E206</f>
        <v>62949.7</v>
      </c>
      <c r="D242" s="9" t="n">
        <f aca="false">Cleaned_Prepared_Data!I206</f>
        <v>84.9</v>
      </c>
      <c r="E242" s="9" t="n">
        <f aca="false">Cleaned_Prepared_Data!H206</f>
        <v>19</v>
      </c>
      <c r="F242" s="9" t="n">
        <f aca="false">Cleaned_Prepared_Data!G206</f>
        <v>0.171</v>
      </c>
      <c r="G242" s="9" t="n">
        <f aca="false">Dummy_Variables!D206</f>
        <v>0</v>
      </c>
      <c r="H242" s="9" t="n">
        <f aca="false">Dummy_Variables!E206</f>
        <v>0</v>
      </c>
      <c r="I242" s="9" t="n">
        <f aca="false">Dummy_Variables!F206</f>
        <v>0</v>
      </c>
    </row>
    <row r="243" customFormat="false" ht="15" hidden="false" customHeight="true" outlineLevel="0" collapsed="false">
      <c r="A243" s="9" t="n">
        <f aca="false">Cleaned_Prepared_Data!M207</f>
        <v>946833.54</v>
      </c>
      <c r="B243" s="9" t="n">
        <f aca="false">Cleaned_Prepared_Data!F207</f>
        <v>12870</v>
      </c>
      <c r="C243" s="9" t="n">
        <f aca="false">Cleaned_Prepared_Data!E207</f>
        <v>107970.19</v>
      </c>
      <c r="D243" s="9" t="n">
        <f aca="false">Cleaned_Prepared_Data!I207</f>
        <v>91.7</v>
      </c>
      <c r="E243" s="9" t="n">
        <f aca="false">Cleaned_Prepared_Data!H207</f>
        <v>31</v>
      </c>
      <c r="F243" s="9" t="n">
        <f aca="false">Cleaned_Prepared_Data!G207</f>
        <v>0.029</v>
      </c>
      <c r="G243" s="9" t="n">
        <f aca="false">Dummy_Variables!D207</f>
        <v>0</v>
      </c>
      <c r="H243" s="9" t="n">
        <f aca="false">Dummy_Variables!E207</f>
        <v>0</v>
      </c>
      <c r="I243" s="9" t="n">
        <f aca="false">Dummy_Variables!F207</f>
        <v>0</v>
      </c>
    </row>
    <row r="244" customFormat="false" ht="15" hidden="false" customHeight="true" outlineLevel="0" collapsed="false">
      <c r="A244" s="9" t="n">
        <f aca="false">Cleaned_Prepared_Data!M208</f>
        <v>761963.23</v>
      </c>
      <c r="B244" s="9" t="n">
        <f aca="false">Cleaned_Prepared_Data!F208</f>
        <v>9752</v>
      </c>
      <c r="C244" s="9" t="n">
        <f aca="false">Cleaned_Prepared_Data!E208</f>
        <v>49405.75</v>
      </c>
      <c r="D244" s="9" t="n">
        <f aca="false">Cleaned_Prepared_Data!I208</f>
        <v>87</v>
      </c>
      <c r="E244" s="9" t="n">
        <f aca="false">Cleaned_Prepared_Data!H208</f>
        <v>21</v>
      </c>
      <c r="F244" s="9" t="n">
        <f aca="false">Cleaned_Prepared_Data!G208</f>
        <v>0.093</v>
      </c>
      <c r="G244" s="9" t="n">
        <f aca="false">Dummy_Variables!D208</f>
        <v>0</v>
      </c>
      <c r="H244" s="9" t="n">
        <f aca="false">Dummy_Variables!E208</f>
        <v>0</v>
      </c>
      <c r="I244" s="9" t="n">
        <f aca="false">Dummy_Variables!F208</f>
        <v>0</v>
      </c>
    </row>
    <row r="245" customFormat="false" ht="15" hidden="false" customHeight="true" outlineLevel="0" collapsed="false">
      <c r="A245" s="9" t="n">
        <f aca="false">Cleaned_Prepared_Data!M209</f>
        <v>812152.6</v>
      </c>
      <c r="B245" s="9" t="n">
        <f aca="false">Cleaned_Prepared_Data!F209</f>
        <v>9505</v>
      </c>
      <c r="C245" s="9" t="n">
        <f aca="false">Cleaned_Prepared_Data!E209</f>
        <v>50887.46</v>
      </c>
      <c r="D245" s="9" t="n">
        <f aca="false">Cleaned_Prepared_Data!I209</f>
        <v>89.7</v>
      </c>
      <c r="E245" s="9" t="n">
        <f aca="false">Cleaned_Prepared_Data!H209</f>
        <v>25</v>
      </c>
      <c r="F245" s="9" t="n">
        <f aca="false">Cleaned_Prepared_Data!G209</f>
        <v>0.091</v>
      </c>
      <c r="G245" s="9" t="n">
        <f aca="false">Dummy_Variables!D209</f>
        <v>0</v>
      </c>
      <c r="H245" s="9" t="n">
        <f aca="false">Dummy_Variables!E209</f>
        <v>0</v>
      </c>
      <c r="I245" s="9" t="n">
        <f aca="false">Dummy_Variables!F209</f>
        <v>1</v>
      </c>
    </row>
    <row r="246" customFormat="false" ht="15" hidden="false" customHeight="true" outlineLevel="0" collapsed="false">
      <c r="A246" s="9" t="n">
        <f aca="false">Cleaned_Prepared_Data!M210</f>
        <v>804975.5</v>
      </c>
      <c r="B246" s="9" t="n">
        <f aca="false">Cleaned_Prepared_Data!F210</f>
        <v>9412</v>
      </c>
      <c r="C246" s="9" t="n">
        <f aca="false">Cleaned_Prepared_Data!E210</f>
        <v>41819.45</v>
      </c>
      <c r="D246" s="9" t="n">
        <f aca="false">Cleaned_Prepared_Data!I210</f>
        <v>91</v>
      </c>
      <c r="E246" s="9" t="n">
        <f aca="false">Cleaned_Prepared_Data!H210</f>
        <v>22</v>
      </c>
      <c r="F246" s="9" t="n">
        <f aca="false">Cleaned_Prepared_Data!G210</f>
        <v>0.15</v>
      </c>
      <c r="G246" s="9" t="n">
        <f aca="false">Dummy_Variables!D210</f>
        <v>0</v>
      </c>
      <c r="H246" s="9" t="n">
        <f aca="false">Dummy_Variables!E210</f>
        <v>0</v>
      </c>
      <c r="I246" s="9" t="n">
        <f aca="false">Dummy_Variables!F210</f>
        <v>1</v>
      </c>
    </row>
    <row r="247" customFormat="false" ht="15" hidden="false" customHeight="true" outlineLevel="0" collapsed="false">
      <c r="A247" s="9" t="n">
        <f aca="false">Cleaned_Prepared_Data!M211</f>
        <v>752321.72</v>
      </c>
      <c r="B247" s="9" t="n">
        <f aca="false">Cleaned_Prepared_Data!F211</f>
        <v>9644</v>
      </c>
      <c r="C247" s="9" t="n">
        <f aca="false">Cleaned_Prepared_Data!E211</f>
        <v>35296.54</v>
      </c>
      <c r="D247" s="9" t="n">
        <f aca="false">Cleaned_Prepared_Data!I211</f>
        <v>88</v>
      </c>
      <c r="E247" s="9" t="n">
        <f aca="false">Cleaned_Prepared_Data!H211</f>
        <v>22</v>
      </c>
      <c r="F247" s="9" t="n">
        <f aca="false">Cleaned_Prepared_Data!G211</f>
        <v>0</v>
      </c>
      <c r="G247" s="9" t="n">
        <f aca="false">Dummy_Variables!D211</f>
        <v>0</v>
      </c>
      <c r="H247" s="9" t="n">
        <f aca="false">Dummy_Variables!E211</f>
        <v>0</v>
      </c>
      <c r="I247" s="9" t="n">
        <f aca="false">Dummy_Variables!F211</f>
        <v>1</v>
      </c>
    </row>
    <row r="248" customFormat="false" ht="15" hidden="false" customHeight="true" outlineLevel="0" collapsed="false">
      <c r="A248" s="9" t="n">
        <f aca="false">Cleaned_Prepared_Data!M212</f>
        <v>836908.24</v>
      </c>
      <c r="B248" s="9" t="n">
        <f aca="false">Cleaned_Prepared_Data!F212</f>
        <v>11224</v>
      </c>
      <c r="C248" s="9" t="n">
        <f aca="false">Cleaned_Prepared_Data!E212</f>
        <v>47391.09</v>
      </c>
      <c r="D248" s="9" t="n">
        <f aca="false">Cleaned_Prepared_Data!I212</f>
        <v>88.4</v>
      </c>
      <c r="E248" s="9" t="n">
        <f aca="false">Cleaned_Prepared_Data!H212</f>
        <v>25</v>
      </c>
      <c r="F248" s="9" t="n">
        <f aca="false">Cleaned_Prepared_Data!G212</f>
        <v>0.147</v>
      </c>
      <c r="G248" s="9" t="n">
        <f aca="false">Dummy_Variables!D212</f>
        <v>0</v>
      </c>
      <c r="H248" s="9" t="n">
        <f aca="false">Dummy_Variables!E212</f>
        <v>0</v>
      </c>
      <c r="I248" s="9" t="n">
        <f aca="false">Dummy_Variables!F212</f>
        <v>1</v>
      </c>
    </row>
    <row r="249" customFormat="false" ht="15" hidden="false" customHeight="true" outlineLevel="0" collapsed="false">
      <c r="A249" s="9" t="n">
        <f aca="false">Cleaned_Prepared_Data!M213</f>
        <v>674289.1</v>
      </c>
      <c r="B249" s="9" t="n">
        <f aca="false">Cleaned_Prepared_Data!F213</f>
        <v>5394</v>
      </c>
      <c r="C249" s="9" t="n">
        <f aca="false">Cleaned_Prepared_Data!E213</f>
        <v>69180.54</v>
      </c>
      <c r="D249" s="9" t="n">
        <f aca="false">Cleaned_Prepared_Data!I213</f>
        <v>82.9</v>
      </c>
      <c r="E249" s="9" t="n">
        <f aca="false">Cleaned_Prepared_Data!H213</f>
        <v>12</v>
      </c>
      <c r="F249" s="9" t="n">
        <f aca="false">Cleaned_Prepared_Data!G213</f>
        <v>0.126</v>
      </c>
      <c r="G249" s="9" t="n">
        <f aca="false">Dummy_Variables!D213</f>
        <v>1</v>
      </c>
      <c r="H249" s="9" t="n">
        <f aca="false">Dummy_Variables!E213</f>
        <v>0</v>
      </c>
      <c r="I249" s="9" t="n">
        <f aca="false">Dummy_Variables!F213</f>
        <v>0</v>
      </c>
    </row>
    <row r="250" customFormat="false" ht="15" hidden="false" customHeight="true" outlineLevel="0" collapsed="false">
      <c r="A250" s="9" t="n">
        <f aca="false">Cleaned_Prepared_Data!M214</f>
        <v>622892.42</v>
      </c>
      <c r="B250" s="9" t="n">
        <f aca="false">Cleaned_Prepared_Data!F214</f>
        <v>5014</v>
      </c>
      <c r="C250" s="9" t="n">
        <f aca="false">Cleaned_Prepared_Data!E214</f>
        <v>33987.33</v>
      </c>
      <c r="D250" s="9" t="n">
        <f aca="false">Cleaned_Prepared_Data!I214</f>
        <v>94.3</v>
      </c>
      <c r="E250" s="9" t="n">
        <f aca="false">Cleaned_Prepared_Data!H214</f>
        <v>17</v>
      </c>
      <c r="F250" s="9" t="n">
        <f aca="false">Cleaned_Prepared_Data!G214</f>
        <v>0.246</v>
      </c>
      <c r="G250" s="9" t="n">
        <f aca="false">Dummy_Variables!D214</f>
        <v>1</v>
      </c>
      <c r="H250" s="9" t="n">
        <f aca="false">Dummy_Variables!E214</f>
        <v>0</v>
      </c>
      <c r="I250" s="9" t="n">
        <f aca="false">Dummy_Variables!F214</f>
        <v>0</v>
      </c>
    </row>
    <row r="251" customFormat="false" ht="15" hidden="false" customHeight="true" outlineLevel="0" collapsed="false">
      <c r="A251" s="9" t="n">
        <f aca="false">Cleaned_Prepared_Data!M215</f>
        <v>673348.56</v>
      </c>
      <c r="B251" s="9" t="n">
        <f aca="false">Cleaned_Prepared_Data!F215</f>
        <v>4467</v>
      </c>
      <c r="C251" s="9" t="n">
        <f aca="false">Cleaned_Prepared_Data!E215</f>
        <v>58785.33</v>
      </c>
      <c r="D251" s="9" t="n">
        <f aca="false">Cleaned_Prepared_Data!I215</f>
        <v>90.7</v>
      </c>
      <c r="E251" s="9" t="n">
        <f aca="false">Cleaned_Prepared_Data!H215</f>
        <v>14</v>
      </c>
      <c r="F251" s="9" t="n">
        <f aca="false">Cleaned_Prepared_Data!G215</f>
        <v>0.229</v>
      </c>
      <c r="G251" s="9" t="n">
        <f aca="false">Dummy_Variables!D215</f>
        <v>1</v>
      </c>
      <c r="H251" s="9" t="n">
        <f aca="false">Dummy_Variables!E215</f>
        <v>0</v>
      </c>
      <c r="I251" s="9" t="n">
        <f aca="false">Dummy_Variables!F215</f>
        <v>0</v>
      </c>
    </row>
    <row r="252" customFormat="false" ht="15" hidden="false" customHeight="true" outlineLevel="0" collapsed="false">
      <c r="A252" s="9" t="n">
        <f aca="false">Cleaned_Prepared_Data!M216</f>
        <v>606278.3</v>
      </c>
      <c r="B252" s="9" t="n">
        <f aca="false">Cleaned_Prepared_Data!F216</f>
        <v>4678</v>
      </c>
      <c r="C252" s="9" t="n">
        <f aca="false">Cleaned_Prepared_Data!E216</f>
        <v>16451.85</v>
      </c>
      <c r="D252" s="9" t="n">
        <f aca="false">Cleaned_Prepared_Data!I216</f>
        <v>95.9</v>
      </c>
      <c r="E252" s="9" t="n">
        <f aca="false">Cleaned_Prepared_Data!H216</f>
        <v>11</v>
      </c>
      <c r="F252" s="9" t="n">
        <f aca="false">Cleaned_Prepared_Data!G216</f>
        <v>0.133</v>
      </c>
      <c r="G252" s="9" t="n">
        <f aca="false">Dummy_Variables!D216</f>
        <v>1</v>
      </c>
      <c r="H252" s="9" t="n">
        <f aca="false">Dummy_Variables!E216</f>
        <v>0</v>
      </c>
      <c r="I252" s="9" t="n">
        <f aca="false">Dummy_Variables!F216</f>
        <v>0</v>
      </c>
    </row>
    <row r="253" customFormat="false" ht="15" hidden="false" customHeight="true" outlineLevel="0" collapsed="false">
      <c r="A253" s="9" t="n">
        <f aca="false">Cleaned_Prepared_Data!M217</f>
        <v>712219.81</v>
      </c>
      <c r="B253" s="9" t="n">
        <f aca="false">Cleaned_Prepared_Data!F217</f>
        <v>7291</v>
      </c>
      <c r="C253" s="9" t="n">
        <f aca="false">Cleaned_Prepared_Data!E217</f>
        <v>53367.73</v>
      </c>
      <c r="D253" s="9" t="n">
        <f aca="false">Cleaned_Prepared_Data!I217</f>
        <v>90.6</v>
      </c>
      <c r="E253" s="9" t="n">
        <f aca="false">Cleaned_Prepared_Data!H217</f>
        <v>18</v>
      </c>
      <c r="F253" s="9" t="n">
        <f aca="false">Cleaned_Prepared_Data!G217</f>
        <v>0.146</v>
      </c>
      <c r="G253" s="9" t="n">
        <f aca="false">Dummy_Variables!D217</f>
        <v>0</v>
      </c>
      <c r="H253" s="9" t="n">
        <f aca="false">Dummy_Variables!E217</f>
        <v>0</v>
      </c>
      <c r="I253" s="9" t="n">
        <f aca="false">Dummy_Variables!F217</f>
        <v>0</v>
      </c>
    </row>
    <row r="254" customFormat="false" ht="15" hidden="false" customHeight="true" outlineLevel="0" collapsed="false">
      <c r="A254" s="9" t="n">
        <f aca="false">Cleaned_Prepared_Data!M218</f>
        <v>672670.54</v>
      </c>
      <c r="B254" s="9" t="n">
        <f aca="false">Cleaned_Prepared_Data!F218</f>
        <v>7404</v>
      </c>
      <c r="C254" s="9" t="n">
        <f aca="false">Cleaned_Prepared_Data!E218</f>
        <v>27194.64</v>
      </c>
      <c r="D254" s="9" t="n">
        <f aca="false">Cleaned_Prepared_Data!I218</f>
        <v>90.2</v>
      </c>
      <c r="E254" s="9" t="n">
        <f aca="false">Cleaned_Prepared_Data!H218</f>
        <v>18</v>
      </c>
      <c r="F254" s="9" t="n">
        <f aca="false">Cleaned_Prepared_Data!G218</f>
        <v>0.088</v>
      </c>
      <c r="G254" s="9" t="n">
        <f aca="false">Dummy_Variables!D218</f>
        <v>0</v>
      </c>
      <c r="H254" s="9" t="n">
        <f aca="false">Dummy_Variables!E218</f>
        <v>0</v>
      </c>
      <c r="I254" s="9" t="n">
        <f aca="false">Dummy_Variables!F218</f>
        <v>0</v>
      </c>
    </row>
    <row r="255" customFormat="false" ht="15" hidden="false" customHeight="true" outlineLevel="0" collapsed="false">
      <c r="A255" s="9" t="n">
        <f aca="false">Cleaned_Prepared_Data!M219</f>
        <v>732667.92</v>
      </c>
      <c r="B255" s="9" t="n">
        <f aca="false">Cleaned_Prepared_Data!F219</f>
        <v>7880</v>
      </c>
      <c r="C255" s="9" t="n">
        <f aca="false">Cleaned_Prepared_Data!E219</f>
        <v>66962.74</v>
      </c>
      <c r="D255" s="9" t="n">
        <f aca="false">Cleaned_Prepared_Data!I219</f>
        <v>90.4</v>
      </c>
      <c r="E255" s="9" t="n">
        <f aca="false">Cleaned_Prepared_Data!H219</f>
        <v>19</v>
      </c>
      <c r="F255" s="9" t="n">
        <f aca="false">Cleaned_Prepared_Data!G219</f>
        <v>0.116</v>
      </c>
      <c r="G255" s="9" t="n">
        <f aca="false">Dummy_Variables!D219</f>
        <v>0</v>
      </c>
      <c r="H255" s="9" t="n">
        <f aca="false">Dummy_Variables!E219</f>
        <v>0</v>
      </c>
      <c r="I255" s="9" t="n">
        <f aca="false">Dummy_Variables!F219</f>
        <v>0</v>
      </c>
    </row>
    <row r="256" customFormat="false" ht="15" hidden="false" customHeight="true" outlineLevel="0" collapsed="false">
      <c r="A256" s="9" t="n">
        <f aca="false">Cleaned_Prepared_Data!M220</f>
        <v>723531.4</v>
      </c>
      <c r="B256" s="9" t="n">
        <f aca="false">Cleaned_Prepared_Data!F220</f>
        <v>8773</v>
      </c>
      <c r="C256" s="9" t="n">
        <f aca="false">Cleaned_Prepared_Data!E220</f>
        <v>73540.99</v>
      </c>
      <c r="D256" s="9" t="n">
        <f aca="false">Cleaned_Prepared_Data!I220</f>
        <v>84.4</v>
      </c>
      <c r="E256" s="9" t="n">
        <f aca="false">Cleaned_Prepared_Data!H220</f>
        <v>21</v>
      </c>
      <c r="F256" s="9" t="n">
        <f aca="false">Cleaned_Prepared_Data!G220</f>
        <v>0.035</v>
      </c>
      <c r="G256" s="9" t="n">
        <f aca="false">Dummy_Variables!D220</f>
        <v>0</v>
      </c>
      <c r="H256" s="9" t="n">
        <f aca="false">Dummy_Variables!E220</f>
        <v>0</v>
      </c>
      <c r="I256" s="9" t="n">
        <f aca="false">Dummy_Variables!F220</f>
        <v>0</v>
      </c>
    </row>
    <row r="257" customFormat="false" ht="15" hidden="false" customHeight="true" outlineLevel="0" collapsed="false">
      <c r="A257" s="9" t="n">
        <f aca="false">Cleaned_Prepared_Data!M221</f>
        <v>641564.6</v>
      </c>
      <c r="B257" s="9" t="n">
        <f aca="false">Cleaned_Prepared_Data!F221</f>
        <v>4713</v>
      </c>
      <c r="C257" s="9" t="n">
        <f aca="false">Cleaned_Prepared_Data!E221</f>
        <v>68212.29</v>
      </c>
      <c r="D257" s="9" t="n">
        <f aca="false">Cleaned_Prepared_Data!I221</f>
        <v>82.6</v>
      </c>
      <c r="E257" s="9" t="n">
        <f aca="false">Cleaned_Prepared_Data!H221</f>
        <v>15</v>
      </c>
      <c r="F257" s="9" t="n">
        <f aca="false">Cleaned_Prepared_Data!G221</f>
        <v>0.198</v>
      </c>
      <c r="G257" s="9" t="n">
        <f aca="false">Dummy_Variables!D221</f>
        <v>0</v>
      </c>
      <c r="H257" s="9" t="n">
        <f aca="false">Dummy_Variables!E221</f>
        <v>1</v>
      </c>
      <c r="I257" s="9" t="n">
        <f aca="false">Dummy_Variables!F221</f>
        <v>0</v>
      </c>
    </row>
    <row r="258" customFormat="false" ht="15" hidden="false" customHeight="true" outlineLevel="0" collapsed="false">
      <c r="A258" s="9" t="n">
        <f aca="false">Cleaned_Prepared_Data!M222</f>
        <v>536545.49</v>
      </c>
      <c r="B258" s="9" t="n">
        <f aca="false">Cleaned_Prepared_Data!F222</f>
        <v>2842</v>
      </c>
      <c r="C258" s="9" t="n">
        <f aca="false">Cleaned_Prepared_Data!E222</f>
        <v>57225.98</v>
      </c>
      <c r="D258" s="9" t="n">
        <f aca="false">Cleaned_Prepared_Data!I222</f>
        <v>79.5</v>
      </c>
      <c r="E258" s="9" t="n">
        <f aca="false">Cleaned_Prepared_Data!H222</f>
        <v>10</v>
      </c>
      <c r="F258" s="9" t="n">
        <f aca="false">Cleaned_Prepared_Data!G222</f>
        <v>0.112</v>
      </c>
      <c r="G258" s="9" t="n">
        <f aca="false">Dummy_Variables!D222</f>
        <v>0</v>
      </c>
      <c r="H258" s="9" t="n">
        <f aca="false">Dummy_Variables!E222</f>
        <v>1</v>
      </c>
      <c r="I258" s="9" t="n">
        <f aca="false">Dummy_Variables!F222</f>
        <v>0</v>
      </c>
    </row>
    <row r="259" customFormat="false" ht="15" hidden="false" customHeight="true" outlineLevel="0" collapsed="false">
      <c r="A259" s="9" t="n">
        <f aca="false">Cleaned_Prepared_Data!M223</f>
        <v>527681.56</v>
      </c>
      <c r="B259" s="9" t="n">
        <f aca="false">Cleaned_Prepared_Data!F223</f>
        <v>3872</v>
      </c>
      <c r="C259" s="9" t="n">
        <f aca="false">Cleaned_Prepared_Data!E223</f>
        <v>42932.02</v>
      </c>
      <c r="D259" s="9" t="n">
        <f aca="false">Cleaned_Prepared_Data!I223</f>
        <v>83.2</v>
      </c>
      <c r="E259" s="9" t="n">
        <f aca="false">Cleaned_Prepared_Data!H223</f>
        <v>12</v>
      </c>
      <c r="F259" s="9" t="n">
        <f aca="false">Cleaned_Prepared_Data!G223</f>
        <v>0.171</v>
      </c>
      <c r="G259" s="9" t="n">
        <f aca="false">Dummy_Variables!D223</f>
        <v>0</v>
      </c>
      <c r="H259" s="9" t="n">
        <f aca="false">Dummy_Variables!E223</f>
        <v>1</v>
      </c>
      <c r="I259" s="9" t="n">
        <f aca="false">Dummy_Variables!F223</f>
        <v>0</v>
      </c>
    </row>
    <row r="260" customFormat="false" ht="15" hidden="false" customHeight="true" outlineLevel="0" collapsed="false">
      <c r="A260" s="9" t="n">
        <f aca="false">Cleaned_Prepared_Data!M224</f>
        <v>570963.31</v>
      </c>
      <c r="B260" s="9" t="n">
        <f aca="false">Cleaned_Prepared_Data!F224</f>
        <v>5957</v>
      </c>
      <c r="C260" s="9" t="n">
        <f aca="false">Cleaned_Prepared_Data!E224</f>
        <v>37324.23</v>
      </c>
      <c r="D260" s="9" t="n">
        <f aca="false">Cleaned_Prepared_Data!I224</f>
        <v>85.9</v>
      </c>
      <c r="E260" s="9" t="n">
        <f aca="false">Cleaned_Prepared_Data!H224</f>
        <v>12</v>
      </c>
      <c r="F260" s="9" t="n">
        <f aca="false">Cleaned_Prepared_Data!G224</f>
        <v>0.071</v>
      </c>
      <c r="G260" s="9" t="n">
        <f aca="false">Dummy_Variables!D224</f>
        <v>0</v>
      </c>
      <c r="H260" s="9" t="n">
        <f aca="false">Dummy_Variables!E224</f>
        <v>0</v>
      </c>
      <c r="I260" s="9" t="n">
        <f aca="false">Dummy_Variables!F224</f>
        <v>0</v>
      </c>
    </row>
    <row r="261" customFormat="false" ht="15" hidden="false" customHeight="true" outlineLevel="0" collapsed="false">
      <c r="A261" s="9" t="n">
        <f aca="false">Cleaned_Prepared_Data!M225</f>
        <v>870937.4</v>
      </c>
      <c r="B261" s="9" t="n">
        <f aca="false">Cleaned_Prepared_Data!F225</f>
        <v>8961</v>
      </c>
      <c r="C261" s="9" t="n">
        <f aca="false">Cleaned_Prepared_Data!E225</f>
        <v>113736</v>
      </c>
      <c r="D261" s="9" t="n">
        <f aca="false">Cleaned_Prepared_Data!I225</f>
        <v>86.2</v>
      </c>
      <c r="E261" s="9" t="n">
        <f aca="false">Cleaned_Prepared_Data!H225</f>
        <v>24</v>
      </c>
      <c r="F261" s="9" t="n">
        <f aca="false">Cleaned_Prepared_Data!G225</f>
        <v>0.202</v>
      </c>
      <c r="G261" s="9" t="n">
        <f aca="false">Dummy_Variables!D225</f>
        <v>0</v>
      </c>
      <c r="H261" s="9" t="n">
        <f aca="false">Dummy_Variables!E225</f>
        <v>0</v>
      </c>
      <c r="I261" s="9" t="n">
        <f aca="false">Dummy_Variables!F225</f>
        <v>0</v>
      </c>
    </row>
    <row r="262" customFormat="false" ht="15" hidden="false" customHeight="true" outlineLevel="0" collapsed="false">
      <c r="A262" s="9" t="n">
        <f aca="false">Cleaned_Prepared_Data!M226</f>
        <v>596969.27</v>
      </c>
      <c r="B262" s="9" t="n">
        <f aca="false">Cleaned_Prepared_Data!F226</f>
        <v>6545</v>
      </c>
      <c r="C262" s="9" t="n">
        <f aca="false">Cleaned_Prepared_Data!E226</f>
        <v>33173.95</v>
      </c>
      <c r="D262" s="9" t="n">
        <f aca="false">Cleaned_Prepared_Data!I226</f>
        <v>84.4</v>
      </c>
      <c r="E262" s="9" t="n">
        <f aca="false">Cleaned_Prepared_Data!H226</f>
        <v>15</v>
      </c>
      <c r="F262" s="9" t="n">
        <f aca="false">Cleaned_Prepared_Data!G226</f>
        <v>0.169</v>
      </c>
      <c r="G262" s="9" t="n">
        <f aca="false">Dummy_Variables!D226</f>
        <v>0</v>
      </c>
      <c r="H262" s="9" t="n">
        <f aca="false">Dummy_Variables!E226</f>
        <v>0</v>
      </c>
      <c r="I262" s="9" t="n">
        <f aca="false">Dummy_Variables!F226</f>
        <v>0</v>
      </c>
    </row>
    <row r="263" customFormat="false" ht="15" hidden="false" customHeight="true" outlineLevel="0" collapsed="false">
      <c r="A263" s="9" t="n">
        <f aca="false">Cleaned_Prepared_Data!M227</f>
        <v>658072.14</v>
      </c>
      <c r="B263" s="9" t="n">
        <f aca="false">Cleaned_Prepared_Data!F227</f>
        <v>4264</v>
      </c>
      <c r="C263" s="9" t="n">
        <f aca="false">Cleaned_Prepared_Data!E227</f>
        <v>47241.92</v>
      </c>
      <c r="D263" s="9" t="n">
        <f aca="false">Cleaned_Prepared_Data!I227</f>
        <v>95.3</v>
      </c>
      <c r="E263" s="9" t="n">
        <f aca="false">Cleaned_Prepared_Data!H227</f>
        <v>13</v>
      </c>
      <c r="F263" s="9" t="n">
        <f aca="false">Cleaned_Prepared_Data!G227</f>
        <v>0.069</v>
      </c>
      <c r="G263" s="9" t="n">
        <f aca="false">Dummy_Variables!D227</f>
        <v>0</v>
      </c>
      <c r="H263" s="9" t="n">
        <f aca="false">Dummy_Variables!E227</f>
        <v>0</v>
      </c>
      <c r="I263" s="9" t="n">
        <f aca="false">Dummy_Variables!F227</f>
        <v>1</v>
      </c>
    </row>
    <row r="264" customFormat="false" ht="15" hidden="false" customHeight="true" outlineLevel="0" collapsed="false">
      <c r="A264" s="9" t="n">
        <f aca="false">Cleaned_Prepared_Data!M228</f>
        <v>723305.11</v>
      </c>
      <c r="B264" s="9" t="n">
        <f aca="false">Cleaned_Prepared_Data!F228</f>
        <v>5321</v>
      </c>
      <c r="C264" s="9" t="n">
        <f aca="false">Cleaned_Prepared_Data!E228</f>
        <v>61650.79</v>
      </c>
      <c r="D264" s="9" t="n">
        <f aca="false">Cleaned_Prepared_Data!I228</f>
        <v>89.2</v>
      </c>
      <c r="E264" s="9" t="n">
        <f aca="false">Cleaned_Prepared_Data!H228</f>
        <v>17</v>
      </c>
      <c r="F264" s="9" t="n">
        <f aca="false">Cleaned_Prepared_Data!G228</f>
        <v>0.126</v>
      </c>
      <c r="G264" s="9" t="n">
        <f aca="false">Dummy_Variables!D228</f>
        <v>0</v>
      </c>
      <c r="H264" s="9" t="n">
        <f aca="false">Dummy_Variables!E228</f>
        <v>0</v>
      </c>
      <c r="I264" s="9" t="n">
        <f aca="false">Dummy_Variables!F228</f>
        <v>1</v>
      </c>
    </row>
    <row r="265" customFormat="false" ht="15" hidden="false" customHeight="true" outlineLevel="0" collapsed="false">
      <c r="A265" s="9" t="n">
        <f aca="false">Cleaned_Prepared_Data!M229</f>
        <v>640666.53</v>
      </c>
      <c r="B265" s="9" t="n">
        <f aca="false">Cleaned_Prepared_Data!F229</f>
        <v>5479</v>
      </c>
      <c r="C265" s="9" t="n">
        <f aca="false">Cleaned_Prepared_Data!E229</f>
        <v>62582.71</v>
      </c>
      <c r="D265" s="9" t="n">
        <f aca="false">Cleaned_Prepared_Data!I229</f>
        <v>81.2</v>
      </c>
      <c r="E265" s="9" t="n">
        <f aca="false">Cleaned_Prepared_Data!H229</f>
        <v>16</v>
      </c>
      <c r="F265" s="9" t="n">
        <f aca="false">Cleaned_Prepared_Data!G229</f>
        <v>0.048</v>
      </c>
      <c r="G265" s="9" t="n">
        <f aca="false">Dummy_Variables!D229</f>
        <v>0</v>
      </c>
      <c r="H265" s="9" t="n">
        <f aca="false">Dummy_Variables!E229</f>
        <v>0</v>
      </c>
      <c r="I265" s="9" t="n">
        <f aca="false">Dummy_Variables!F229</f>
        <v>1</v>
      </c>
    </row>
    <row r="266" customFormat="false" ht="15" hidden="false" customHeight="true" outlineLevel="0" collapsed="false">
      <c r="A266" s="9" t="n">
        <f aca="false">Cleaned_Prepared_Data!M230</f>
        <v>670629.48</v>
      </c>
      <c r="B266" s="9" t="n">
        <f aca="false">Cleaned_Prepared_Data!F230</f>
        <v>6169</v>
      </c>
      <c r="C266" s="9" t="n">
        <f aca="false">Cleaned_Prepared_Data!E230</f>
        <v>47944.14</v>
      </c>
      <c r="D266" s="9" t="n">
        <f aca="false">Cleaned_Prepared_Data!I230</f>
        <v>92.2</v>
      </c>
      <c r="E266" s="9" t="n">
        <f aca="false">Cleaned_Prepared_Data!H230</f>
        <v>17</v>
      </c>
      <c r="F266" s="9" t="n">
        <f aca="false">Cleaned_Prepared_Data!G230</f>
        <v>0.119</v>
      </c>
      <c r="G266" s="9" t="n">
        <f aca="false">Dummy_Variables!D230</f>
        <v>0</v>
      </c>
      <c r="H266" s="9" t="n">
        <f aca="false">Dummy_Variables!E230</f>
        <v>0</v>
      </c>
      <c r="I266" s="9" t="n">
        <f aca="false">Dummy_Variables!F230</f>
        <v>1</v>
      </c>
    </row>
    <row r="267" customFormat="false" ht="15" hidden="false" customHeight="true" outlineLevel="0" collapsed="false">
      <c r="A267" s="9" t="n">
        <f aca="false">Cleaned_Prepared_Data!M231</f>
        <v>721079.35</v>
      </c>
      <c r="B267" s="9" t="n">
        <f aca="false">Cleaned_Prepared_Data!F231</f>
        <v>9908</v>
      </c>
      <c r="C267" s="9" t="n">
        <f aca="false">Cleaned_Prepared_Data!E231</f>
        <v>46495.4</v>
      </c>
      <c r="D267" s="9" t="n">
        <f aca="false">Cleaned_Prepared_Data!I231</f>
        <v>89.4</v>
      </c>
      <c r="E267" s="9" t="n">
        <f aca="false">Cleaned_Prepared_Data!H231</f>
        <v>22</v>
      </c>
      <c r="F267" s="9" t="n">
        <f aca="false">Cleaned_Prepared_Data!G231</f>
        <v>0.121</v>
      </c>
      <c r="G267" s="9" t="n">
        <f aca="false">Dummy_Variables!D231</f>
        <v>0</v>
      </c>
      <c r="H267" s="9" t="n">
        <f aca="false">Dummy_Variables!E231</f>
        <v>1</v>
      </c>
      <c r="I267" s="9" t="n">
        <f aca="false">Dummy_Variables!F231</f>
        <v>0</v>
      </c>
    </row>
    <row r="268" customFormat="false" ht="15" hidden="false" customHeight="true" outlineLevel="0" collapsed="false">
      <c r="A268" s="9" t="n">
        <f aca="false">Cleaned_Prepared_Data!M232</f>
        <v>810355.02</v>
      </c>
      <c r="B268" s="9" t="n">
        <f aca="false">Cleaned_Prepared_Data!F232</f>
        <v>9996</v>
      </c>
      <c r="C268" s="9" t="n">
        <f aca="false">Cleaned_Prepared_Data!E232</f>
        <v>72961.95</v>
      </c>
      <c r="D268" s="9" t="n">
        <f aca="false">Cleaned_Prepared_Data!I232</f>
        <v>89.1</v>
      </c>
      <c r="E268" s="9" t="n">
        <f aca="false">Cleaned_Prepared_Data!H232</f>
        <v>22</v>
      </c>
      <c r="F268" s="9" t="n">
        <f aca="false">Cleaned_Prepared_Data!G232</f>
        <v>0.106</v>
      </c>
      <c r="G268" s="9" t="n">
        <f aca="false">Dummy_Variables!D232</f>
        <v>0</v>
      </c>
      <c r="H268" s="9" t="n">
        <f aca="false">Dummy_Variables!E232</f>
        <v>1</v>
      </c>
      <c r="I268" s="9" t="n">
        <f aca="false">Dummy_Variables!F232</f>
        <v>0</v>
      </c>
    </row>
    <row r="269" customFormat="false" ht="15" hidden="false" customHeight="true" outlineLevel="0" collapsed="false">
      <c r="A269" s="9" t="n">
        <f aca="false">Cleaned_Prepared_Data!M233</f>
        <v>761919.25</v>
      </c>
      <c r="B269" s="9" t="n">
        <f aca="false">Cleaned_Prepared_Data!F233</f>
        <v>9702</v>
      </c>
      <c r="C269" s="9" t="n">
        <f aca="false">Cleaned_Prepared_Data!E233</f>
        <v>59060.05</v>
      </c>
      <c r="D269" s="9" t="n">
        <f aca="false">Cleaned_Prepared_Data!I233</f>
        <v>80.9</v>
      </c>
      <c r="E269" s="9" t="n">
        <f aca="false">Cleaned_Prepared_Data!H233</f>
        <v>23</v>
      </c>
      <c r="F269" s="9" t="n">
        <f aca="false">Cleaned_Prepared_Data!G233</f>
        <v>0.201</v>
      </c>
      <c r="G269" s="9" t="n">
        <f aca="false">Dummy_Variables!D233</f>
        <v>0</v>
      </c>
      <c r="H269" s="9" t="n">
        <f aca="false">Dummy_Variables!E233</f>
        <v>1</v>
      </c>
      <c r="I269" s="9" t="n">
        <f aca="false">Dummy_Variables!F233</f>
        <v>0</v>
      </c>
    </row>
    <row r="270" customFormat="false" ht="15" hidden="false" customHeight="true" outlineLevel="0" collapsed="false">
      <c r="A270" s="9" t="n">
        <f aca="false">Cleaned_Prepared_Data!M234</f>
        <v>737070.18</v>
      </c>
      <c r="B270" s="9" t="n">
        <f aca="false">Cleaned_Prepared_Data!F234</f>
        <v>9314</v>
      </c>
      <c r="C270" s="9" t="n">
        <f aca="false">Cleaned_Prepared_Data!E234</f>
        <v>26248.1</v>
      </c>
      <c r="D270" s="9" t="n">
        <f aca="false">Cleaned_Prepared_Data!I234</f>
        <v>83.7</v>
      </c>
      <c r="E270" s="9" t="n">
        <f aca="false">Cleaned_Prepared_Data!H234</f>
        <v>21</v>
      </c>
      <c r="F270" s="9" t="n">
        <f aca="false">Cleaned_Prepared_Data!G234</f>
        <v>0.186</v>
      </c>
      <c r="G270" s="9" t="n">
        <f aca="false">Dummy_Variables!D234</f>
        <v>0</v>
      </c>
      <c r="H270" s="9" t="n">
        <f aca="false">Dummy_Variables!E234</f>
        <v>1</v>
      </c>
      <c r="I270" s="9" t="n">
        <f aca="false">Dummy_Variables!F234</f>
        <v>0</v>
      </c>
    </row>
    <row r="271" customFormat="false" ht="15" hidden="false" customHeight="true" outlineLevel="0" collapsed="false">
      <c r="A271" s="9" t="n">
        <f aca="false">Cleaned_Prepared_Data!M235</f>
        <v>776992.93</v>
      </c>
      <c r="B271" s="9" t="n">
        <f aca="false">Cleaned_Prepared_Data!F235</f>
        <v>8055</v>
      </c>
      <c r="C271" s="9" t="n">
        <f aca="false">Cleaned_Prepared_Data!E235</f>
        <v>69900.12</v>
      </c>
      <c r="D271" s="9" t="n">
        <f aca="false">Cleaned_Prepared_Data!I235</f>
        <v>85.6</v>
      </c>
      <c r="E271" s="9" t="n">
        <f aca="false">Cleaned_Prepared_Data!H235</f>
        <v>22</v>
      </c>
      <c r="F271" s="9" t="n">
        <f aca="false">Cleaned_Prepared_Data!G235</f>
        <v>0.281</v>
      </c>
      <c r="G271" s="9" t="n">
        <f aca="false">Dummy_Variables!D235</f>
        <v>1</v>
      </c>
      <c r="H271" s="9" t="n">
        <f aca="false">Dummy_Variables!E235</f>
        <v>0</v>
      </c>
      <c r="I271" s="9" t="n">
        <f aca="false">Dummy_Variables!F235</f>
        <v>0</v>
      </c>
    </row>
    <row r="272" customFormat="false" ht="15" hidden="false" customHeight="true" outlineLevel="0" collapsed="false">
      <c r="A272" s="9" t="n">
        <f aca="false">Cleaned_Prepared_Data!M236</f>
        <v>676337.41</v>
      </c>
      <c r="B272" s="9" t="n">
        <f aca="false">Cleaned_Prepared_Data!F236</f>
        <v>5648</v>
      </c>
      <c r="C272" s="9" t="n">
        <f aca="false">Cleaned_Prepared_Data!E236</f>
        <v>51781.6</v>
      </c>
      <c r="D272" s="9" t="n">
        <f aca="false">Cleaned_Prepared_Data!I236</f>
        <v>85.5</v>
      </c>
      <c r="E272" s="9" t="n">
        <f aca="false">Cleaned_Prepared_Data!H236</f>
        <v>13</v>
      </c>
      <c r="F272" s="9" t="n">
        <f aca="false">Cleaned_Prepared_Data!G236</f>
        <v>0.059</v>
      </c>
      <c r="G272" s="9" t="n">
        <f aca="false">Dummy_Variables!D236</f>
        <v>1</v>
      </c>
      <c r="H272" s="9" t="n">
        <f aca="false">Dummy_Variables!E236</f>
        <v>0</v>
      </c>
      <c r="I272" s="9" t="n">
        <f aca="false">Dummy_Variables!F236</f>
        <v>0</v>
      </c>
    </row>
    <row r="273" customFormat="false" ht="15" hidden="false" customHeight="true" outlineLevel="0" collapsed="false">
      <c r="A273" s="9" t="n">
        <f aca="false">Cleaned_Prepared_Data!M237</f>
        <v>828219.67</v>
      </c>
      <c r="B273" s="9" t="n">
        <f aca="false">Cleaned_Prepared_Data!F237</f>
        <v>10076</v>
      </c>
      <c r="C273" s="9" t="n">
        <f aca="false">Cleaned_Prepared_Data!E237</f>
        <v>70799.64</v>
      </c>
      <c r="D273" s="9" t="n">
        <f aca="false">Cleaned_Prepared_Data!I237</f>
        <v>84.8</v>
      </c>
      <c r="E273" s="9" t="n">
        <f aca="false">Cleaned_Prepared_Data!H237</f>
        <v>24</v>
      </c>
      <c r="F273" s="9" t="n">
        <f aca="false">Cleaned_Prepared_Data!G237</f>
        <v>0.152</v>
      </c>
      <c r="G273" s="9" t="n">
        <f aca="false">Dummy_Variables!D237</f>
        <v>1</v>
      </c>
      <c r="H273" s="9" t="n">
        <f aca="false">Dummy_Variables!E237</f>
        <v>0</v>
      </c>
      <c r="I273" s="9" t="n">
        <f aca="false">Dummy_Variables!F237</f>
        <v>0</v>
      </c>
    </row>
    <row r="274" customFormat="false" ht="15" hidden="false" customHeight="true" outlineLevel="0" collapsed="false">
      <c r="A274" s="9" t="n">
        <f aca="false">Cleaned_Prepared_Data!M238</f>
        <v>763159.92</v>
      </c>
      <c r="B274" s="9" t="n">
        <f aca="false">Cleaned_Prepared_Data!F238</f>
        <v>8004</v>
      </c>
      <c r="C274" s="9" t="n">
        <f aca="false">Cleaned_Prepared_Data!E238</f>
        <v>53546.34</v>
      </c>
      <c r="D274" s="9" t="n">
        <f aca="false">Cleaned_Prepared_Data!I238</f>
        <v>95.2</v>
      </c>
      <c r="E274" s="9" t="n">
        <f aca="false">Cleaned_Prepared_Data!H238</f>
        <v>21</v>
      </c>
      <c r="F274" s="9" t="n">
        <f aca="false">Cleaned_Prepared_Data!G238</f>
        <v>0</v>
      </c>
      <c r="G274" s="9" t="n">
        <f aca="false">Dummy_Variables!D238</f>
        <v>1</v>
      </c>
      <c r="H274" s="9" t="n">
        <f aca="false">Dummy_Variables!E238</f>
        <v>0</v>
      </c>
      <c r="I274" s="9" t="n">
        <f aca="false">Dummy_Variables!F238</f>
        <v>0</v>
      </c>
    </row>
    <row r="275" customFormat="false" ht="15" hidden="false" customHeight="true" outlineLevel="0" collapsed="false">
      <c r="A275" s="9" t="n">
        <f aca="false">Cleaned_Prepared_Data!M239</f>
        <v>802001.68</v>
      </c>
      <c r="B275" s="9" t="n">
        <f aca="false">Cleaned_Prepared_Data!F239</f>
        <v>8934</v>
      </c>
      <c r="C275" s="9" t="n">
        <f aca="false">Cleaned_Prepared_Data!E239</f>
        <v>76942.2</v>
      </c>
      <c r="D275" s="9" t="n">
        <f aca="false">Cleaned_Prepared_Data!I239</f>
        <v>91</v>
      </c>
      <c r="E275" s="9" t="n">
        <f aca="false">Cleaned_Prepared_Data!H239</f>
        <v>20</v>
      </c>
      <c r="F275" s="9" t="n">
        <f aca="false">Cleaned_Prepared_Data!G239</f>
        <v>0.084</v>
      </c>
      <c r="G275" s="9" t="n">
        <f aca="false">Dummy_Variables!D239</f>
        <v>0</v>
      </c>
      <c r="H275" s="9" t="n">
        <f aca="false">Dummy_Variables!E239</f>
        <v>0</v>
      </c>
      <c r="I275" s="9" t="n">
        <f aca="false">Dummy_Variables!F239</f>
        <v>0</v>
      </c>
    </row>
    <row r="276" customFormat="false" ht="15" hidden="false" customHeight="true" outlineLevel="0" collapsed="false">
      <c r="A276" s="9" t="n">
        <f aca="false">Cleaned_Prepared_Data!M240</f>
        <v>750471.34</v>
      </c>
      <c r="B276" s="9" t="n">
        <f aca="false">Cleaned_Prepared_Data!F240</f>
        <v>8733</v>
      </c>
      <c r="C276" s="9" t="n">
        <f aca="false">Cleaned_Prepared_Data!E240</f>
        <v>48060.78</v>
      </c>
      <c r="D276" s="9" t="n">
        <f aca="false">Cleaned_Prepared_Data!I240</f>
        <v>89.9</v>
      </c>
      <c r="E276" s="9" t="n">
        <f aca="false">Cleaned_Prepared_Data!H240</f>
        <v>20</v>
      </c>
      <c r="F276" s="9" t="n">
        <f aca="false">Cleaned_Prepared_Data!G240</f>
        <v>0</v>
      </c>
      <c r="G276" s="9" t="n">
        <f aca="false">Dummy_Variables!D240</f>
        <v>0</v>
      </c>
      <c r="H276" s="9" t="n">
        <f aca="false">Dummy_Variables!E240</f>
        <v>0</v>
      </c>
      <c r="I276" s="9" t="n">
        <f aca="false">Dummy_Variables!F240</f>
        <v>0</v>
      </c>
    </row>
    <row r="277" customFormat="false" ht="15" hidden="false" customHeight="true" outlineLevel="0" collapsed="false">
      <c r="A277" s="9" t="n">
        <f aca="false">Cleaned_Prepared_Data!M241</f>
        <v>679230.86</v>
      </c>
      <c r="B277" s="9" t="n">
        <f aca="false">Cleaned_Prepared_Data!F241</f>
        <v>7374</v>
      </c>
      <c r="C277" s="9" t="n">
        <f aca="false">Cleaned_Prepared_Data!E241</f>
        <v>57390.04</v>
      </c>
      <c r="D277" s="9" t="n">
        <f aca="false">Cleaned_Prepared_Data!I241</f>
        <v>91.8</v>
      </c>
      <c r="E277" s="9" t="n">
        <f aca="false">Cleaned_Prepared_Data!H241</f>
        <v>21</v>
      </c>
      <c r="F277" s="9" t="n">
        <f aca="false">Cleaned_Prepared_Data!G241</f>
        <v>0.21</v>
      </c>
      <c r="G277" s="9" t="n">
        <f aca="false">Dummy_Variables!D241</f>
        <v>0</v>
      </c>
      <c r="H277" s="9" t="n">
        <f aca="false">Dummy_Variables!E241</f>
        <v>0</v>
      </c>
      <c r="I277" s="9" t="n">
        <f aca="false">Dummy_Variables!F241</f>
        <v>0</v>
      </c>
    </row>
    <row r="278" customFormat="false" ht="15" hidden="false" customHeight="true" outlineLevel="0" collapsed="false">
      <c r="A278" s="9" t="n">
        <f aca="false">Cleaned_Prepared_Data!M242</f>
        <v>679888.74</v>
      </c>
      <c r="B278" s="9" t="n">
        <f aca="false">Cleaned_Prepared_Data!F242</f>
        <v>8119</v>
      </c>
      <c r="C278" s="9" t="n">
        <f aca="false">Cleaned_Prepared_Data!E242</f>
        <v>21536.18</v>
      </c>
      <c r="D278" s="9" t="n">
        <f aca="false">Cleaned_Prepared_Data!I242</f>
        <v>90.4</v>
      </c>
      <c r="E278" s="9" t="n">
        <f aca="false">Cleaned_Prepared_Data!H242</f>
        <v>20</v>
      </c>
      <c r="F278" s="9" t="n">
        <f aca="false">Cleaned_Prepared_Data!G242</f>
        <v>0.227</v>
      </c>
      <c r="G278" s="9" t="n">
        <f aca="false">Dummy_Variables!D242</f>
        <v>0</v>
      </c>
      <c r="H278" s="9" t="n">
        <f aca="false">Dummy_Variables!E242</f>
        <v>0</v>
      </c>
      <c r="I278" s="9" t="n">
        <f aca="false">Dummy_Variables!F242</f>
        <v>0</v>
      </c>
    </row>
    <row r="279" customFormat="false" ht="15" hidden="false" customHeight="true" outlineLevel="0" collapsed="false">
      <c r="A279" s="9" t="n">
        <f aca="false">Cleaned_Prepared_Data!M243</f>
        <v>642751.42</v>
      </c>
      <c r="B279" s="9" t="n">
        <f aca="false">Cleaned_Prepared_Data!F243</f>
        <v>5765</v>
      </c>
      <c r="C279" s="9" t="n">
        <f aca="false">Cleaned_Prepared_Data!E243</f>
        <v>72932.55</v>
      </c>
      <c r="D279" s="9" t="n">
        <f aca="false">Cleaned_Prepared_Data!I243</f>
        <v>81.8</v>
      </c>
      <c r="E279" s="9" t="n">
        <f aca="false">Cleaned_Prepared_Data!H243</f>
        <v>17</v>
      </c>
      <c r="F279" s="9" t="n">
        <f aca="false">Cleaned_Prepared_Data!G243</f>
        <v>0.026</v>
      </c>
      <c r="G279" s="9" t="n">
        <f aca="false">Dummy_Variables!D243</f>
        <v>0</v>
      </c>
      <c r="H279" s="9" t="n">
        <f aca="false">Dummy_Variables!E243</f>
        <v>0</v>
      </c>
      <c r="I279" s="9" t="n">
        <f aca="false">Dummy_Variables!F243</f>
        <v>0</v>
      </c>
    </row>
    <row r="280" customFormat="false" ht="15" hidden="false" customHeight="true" outlineLevel="0" collapsed="false">
      <c r="A280" s="9" t="n">
        <f aca="false">Cleaned_Prepared_Data!M244</f>
        <v>647953.78</v>
      </c>
      <c r="B280" s="9" t="n">
        <f aca="false">Cleaned_Prepared_Data!F244</f>
        <v>6322</v>
      </c>
      <c r="C280" s="9" t="n">
        <f aca="false">Cleaned_Prepared_Data!E244</f>
        <v>38361.93</v>
      </c>
      <c r="D280" s="9" t="n">
        <f aca="false">Cleaned_Prepared_Data!I244</f>
        <v>88.4</v>
      </c>
      <c r="E280" s="9" t="n">
        <f aca="false">Cleaned_Prepared_Data!H244</f>
        <v>15</v>
      </c>
      <c r="F280" s="9" t="n">
        <f aca="false">Cleaned_Prepared_Data!G244</f>
        <v>0.273</v>
      </c>
      <c r="G280" s="9" t="n">
        <f aca="false">Dummy_Variables!D244</f>
        <v>0</v>
      </c>
      <c r="H280" s="9" t="n">
        <f aca="false">Dummy_Variables!E244</f>
        <v>0</v>
      </c>
      <c r="I280" s="9" t="n">
        <f aca="false">Dummy_Variables!F244</f>
        <v>0</v>
      </c>
    </row>
    <row r="281" customFormat="false" ht="15" hidden="false" customHeight="true" outlineLevel="0" collapsed="false">
      <c r="A281" s="9" t="n">
        <f aca="false">Cleaned_Prepared_Data!M245</f>
        <v>729440.45</v>
      </c>
      <c r="B281" s="9" t="n">
        <f aca="false">Cleaned_Prepared_Data!F245</f>
        <v>6840</v>
      </c>
      <c r="C281" s="9" t="n">
        <f aca="false">Cleaned_Prepared_Data!E245</f>
        <v>97480.94</v>
      </c>
      <c r="D281" s="9" t="n">
        <f aca="false">Cleaned_Prepared_Data!I245</f>
        <v>79.2</v>
      </c>
      <c r="E281" s="9" t="n">
        <f aca="false">Cleaned_Prepared_Data!H245</f>
        <v>14</v>
      </c>
      <c r="F281" s="9" t="n">
        <f aca="false">Cleaned_Prepared_Data!G245</f>
        <v>0.087</v>
      </c>
      <c r="G281" s="9" t="n">
        <f aca="false">Dummy_Variables!D245</f>
        <v>0</v>
      </c>
      <c r="H281" s="9" t="n">
        <f aca="false">Dummy_Variables!E245</f>
        <v>0</v>
      </c>
      <c r="I281" s="9" t="n">
        <f aca="false">Dummy_Variables!F245</f>
        <v>0</v>
      </c>
    </row>
    <row r="282" customFormat="false" ht="15" hidden="false" customHeight="true" outlineLevel="0" collapsed="false">
      <c r="A282" s="9" t="n">
        <f aca="false">Cleaned_Prepared_Data!M246</f>
        <v>764949</v>
      </c>
      <c r="B282" s="9" t="n">
        <f aca="false">Cleaned_Prepared_Data!F246</f>
        <v>6782</v>
      </c>
      <c r="C282" s="9" t="n">
        <f aca="false">Cleaned_Prepared_Data!E246</f>
        <v>81801.8</v>
      </c>
      <c r="D282" s="9" t="n">
        <f aca="false">Cleaned_Prepared_Data!I246</f>
        <v>99</v>
      </c>
      <c r="E282" s="9" t="n">
        <f aca="false">Cleaned_Prepared_Data!H246</f>
        <v>16</v>
      </c>
      <c r="F282" s="9" t="n">
        <f aca="false">Cleaned_Prepared_Data!G246</f>
        <v>0.05</v>
      </c>
      <c r="G282" s="9" t="n">
        <f aca="false">Dummy_Variables!D246</f>
        <v>1</v>
      </c>
      <c r="H282" s="9" t="n">
        <f aca="false">Dummy_Variables!E246</f>
        <v>0</v>
      </c>
      <c r="I282" s="9" t="n">
        <f aca="false">Dummy_Variables!F246</f>
        <v>0</v>
      </c>
    </row>
    <row r="283" customFormat="false" ht="15" hidden="false" customHeight="true" outlineLevel="0" collapsed="false">
      <c r="A283" s="9" t="n">
        <f aca="false">Cleaned_Prepared_Data!M247</f>
        <v>799046.94</v>
      </c>
      <c r="B283" s="9" t="n">
        <f aca="false">Cleaned_Prepared_Data!F247</f>
        <v>6856</v>
      </c>
      <c r="C283" s="9" t="n">
        <f aca="false">Cleaned_Prepared_Data!E247</f>
        <v>63582.11</v>
      </c>
      <c r="D283" s="9" t="n">
        <f aca="false">Cleaned_Prepared_Data!I247</f>
        <v>89.5</v>
      </c>
      <c r="E283" s="9" t="n">
        <f aca="false">Cleaned_Prepared_Data!H247</f>
        <v>17</v>
      </c>
      <c r="F283" s="9" t="n">
        <f aca="false">Cleaned_Prepared_Data!G247</f>
        <v>0.074</v>
      </c>
      <c r="G283" s="9" t="n">
        <f aca="false">Dummy_Variables!D247</f>
        <v>1</v>
      </c>
      <c r="H283" s="9" t="n">
        <f aca="false">Dummy_Variables!E247</f>
        <v>0</v>
      </c>
      <c r="I283" s="9" t="n">
        <f aca="false">Dummy_Variables!F247</f>
        <v>0</v>
      </c>
    </row>
    <row r="284" customFormat="false" ht="15" hidden="false" customHeight="true" outlineLevel="0" collapsed="false">
      <c r="A284" s="9" t="n">
        <f aca="false">Cleaned_Prepared_Data!M248</f>
        <v>720079.54</v>
      </c>
      <c r="B284" s="9" t="n">
        <f aca="false">Cleaned_Prepared_Data!F248</f>
        <v>5641</v>
      </c>
      <c r="C284" s="9" t="n">
        <f aca="false">Cleaned_Prepared_Data!E248</f>
        <v>75412.74</v>
      </c>
      <c r="D284" s="9" t="n">
        <f aca="false">Cleaned_Prepared_Data!I248</f>
        <v>87.9</v>
      </c>
      <c r="E284" s="9" t="n">
        <f aca="false">Cleaned_Prepared_Data!H248</f>
        <v>13</v>
      </c>
      <c r="F284" s="9" t="n">
        <f aca="false">Cleaned_Prepared_Data!G248</f>
        <v>0.059</v>
      </c>
      <c r="G284" s="9" t="n">
        <f aca="false">Dummy_Variables!D248</f>
        <v>1</v>
      </c>
      <c r="H284" s="9" t="n">
        <f aca="false">Dummy_Variables!E248</f>
        <v>0</v>
      </c>
      <c r="I284" s="9" t="n">
        <f aca="false">Dummy_Variables!F248</f>
        <v>0</v>
      </c>
    </row>
    <row r="285" customFormat="false" ht="15" hidden="false" customHeight="true" outlineLevel="0" collapsed="false">
      <c r="A285" s="9" t="n">
        <f aca="false">Cleaned_Prepared_Data!M249</f>
        <v>612390.14</v>
      </c>
      <c r="B285" s="9" t="n">
        <f aca="false">Cleaned_Prepared_Data!F249</f>
        <v>5787</v>
      </c>
      <c r="C285" s="9" t="n">
        <f aca="false">Cleaned_Prepared_Data!E249</f>
        <v>36290.08</v>
      </c>
      <c r="D285" s="9" t="n">
        <f aca="false">Cleaned_Prepared_Data!I249</f>
        <v>88.3</v>
      </c>
      <c r="E285" s="9" t="n">
        <f aca="false">Cleaned_Prepared_Data!H249</f>
        <v>17</v>
      </c>
      <c r="F285" s="9" t="n">
        <f aca="false">Cleaned_Prepared_Data!G249</f>
        <v>0</v>
      </c>
      <c r="G285" s="9" t="n">
        <f aca="false">Dummy_Variables!D249</f>
        <v>1</v>
      </c>
      <c r="H285" s="9" t="n">
        <f aca="false">Dummy_Variables!E249</f>
        <v>0</v>
      </c>
      <c r="I285" s="9" t="n">
        <f aca="false">Dummy_Variables!F249</f>
        <v>0</v>
      </c>
    </row>
    <row r="286" customFormat="false" ht="15" hidden="false" customHeight="true" outlineLevel="0" collapsed="false">
      <c r="A286" s="9" t="n">
        <f aca="false">Cleaned_Prepared_Data!M250</f>
        <v>840108.12</v>
      </c>
      <c r="B286" s="9" t="n">
        <f aca="false">Cleaned_Prepared_Data!F250</f>
        <v>8165</v>
      </c>
      <c r="C286" s="9" t="n">
        <f aca="false">Cleaned_Prepared_Data!E250</f>
        <v>65272.58</v>
      </c>
      <c r="D286" s="9" t="n">
        <f aca="false">Cleaned_Prepared_Data!I250</f>
        <v>87.8</v>
      </c>
      <c r="E286" s="9" t="n">
        <f aca="false">Cleaned_Prepared_Data!H250</f>
        <v>19</v>
      </c>
      <c r="F286" s="9" t="n">
        <f aca="false">Cleaned_Prepared_Data!G250</f>
        <v>0.051</v>
      </c>
      <c r="G286" s="9" t="n">
        <f aca="false">Dummy_Variables!D250</f>
        <v>0</v>
      </c>
      <c r="H286" s="9" t="n">
        <f aca="false">Dummy_Variables!E250</f>
        <v>1</v>
      </c>
      <c r="I286" s="9" t="n">
        <f aca="false">Dummy_Variables!F250</f>
        <v>0</v>
      </c>
    </row>
    <row r="287" customFormat="false" ht="15" hidden="false" customHeight="true" outlineLevel="0" collapsed="false">
      <c r="A287" s="9" t="n">
        <f aca="false">Cleaned_Prepared_Data!M251</f>
        <v>697888.09</v>
      </c>
      <c r="B287" s="9" t="n">
        <f aca="false">Cleaned_Prepared_Data!F251</f>
        <v>7574</v>
      </c>
      <c r="C287" s="9" t="n">
        <f aca="false">Cleaned_Prepared_Data!E251</f>
        <v>28670.43</v>
      </c>
      <c r="D287" s="9" t="n">
        <f aca="false">Cleaned_Prepared_Data!I251</f>
        <v>82.7</v>
      </c>
      <c r="E287" s="9" t="n">
        <f aca="false">Cleaned_Prepared_Data!H251</f>
        <v>19</v>
      </c>
      <c r="F287" s="9" t="n">
        <f aca="false">Cleaned_Prepared_Data!G251</f>
        <v>0.114</v>
      </c>
      <c r="G287" s="9" t="n">
        <f aca="false">Dummy_Variables!D251</f>
        <v>0</v>
      </c>
      <c r="H287" s="9" t="n">
        <f aca="false">Dummy_Variables!E251</f>
        <v>1</v>
      </c>
      <c r="I287" s="9" t="n">
        <f aca="false">Dummy_Variables!F251</f>
        <v>0</v>
      </c>
    </row>
    <row r="288" customFormat="false" ht="15" hidden="false" customHeight="true" outlineLevel="0" collapsed="false">
      <c r="A288" s="9" t="n">
        <f aca="false">Cleaned_Prepared_Data!M252</f>
        <v>746115.59</v>
      </c>
      <c r="B288" s="9" t="n">
        <f aca="false">Cleaned_Prepared_Data!F252</f>
        <v>8634</v>
      </c>
      <c r="C288" s="9" t="n">
        <f aca="false">Cleaned_Prepared_Data!E252</f>
        <v>44189.34</v>
      </c>
      <c r="D288" s="9" t="n">
        <f aca="false">Cleaned_Prepared_Data!I252</f>
        <v>87.5</v>
      </c>
      <c r="E288" s="9" t="n">
        <f aca="false">Cleaned_Prepared_Data!H252</f>
        <v>19</v>
      </c>
      <c r="F288" s="9" t="n">
        <f aca="false">Cleaned_Prepared_Data!G252</f>
        <v>0.143</v>
      </c>
      <c r="G288" s="9" t="n">
        <f aca="false">Dummy_Variables!D252</f>
        <v>0</v>
      </c>
      <c r="H288" s="9" t="n">
        <f aca="false">Dummy_Variables!E252</f>
        <v>1</v>
      </c>
      <c r="I288" s="9" t="n">
        <f aca="false">Dummy_Variables!F252</f>
        <v>0</v>
      </c>
    </row>
    <row r="289" customFormat="false" ht="15" hidden="false" customHeight="true" outlineLevel="0" collapsed="false">
      <c r="A289" s="9" t="n">
        <f aca="false">Cleaned_Prepared_Data!M253</f>
        <v>776110.32</v>
      </c>
      <c r="B289" s="9" t="n">
        <f aca="false">Cleaned_Prepared_Data!F253</f>
        <v>7836</v>
      </c>
      <c r="C289" s="9" t="n">
        <f aca="false">Cleaned_Prepared_Data!E253</f>
        <v>38397.82</v>
      </c>
      <c r="D289" s="9" t="n">
        <f aca="false">Cleaned_Prepared_Data!I253</f>
        <v>92.2</v>
      </c>
      <c r="E289" s="9" t="n">
        <f aca="false">Cleaned_Prepared_Data!H253</f>
        <v>21</v>
      </c>
      <c r="F289" s="9" t="n">
        <f aca="false">Cleaned_Prepared_Data!G253</f>
        <v>0.007</v>
      </c>
      <c r="G289" s="9" t="n">
        <f aca="false">Dummy_Variables!D253</f>
        <v>0</v>
      </c>
      <c r="H289" s="9" t="n">
        <f aca="false">Dummy_Variables!E253</f>
        <v>1</v>
      </c>
      <c r="I289" s="9" t="n">
        <f aca="false">Dummy_Variables!F253</f>
        <v>0</v>
      </c>
    </row>
    <row r="290" customFormat="false" ht="15" hidden="false" customHeight="true" outlineLevel="0" collapsed="false">
      <c r="A290" s="9" t="n">
        <f aca="false">Cleaned_Prepared_Data!M254</f>
        <v>528852.62</v>
      </c>
      <c r="B290" s="9" t="n">
        <f aca="false">Cleaned_Prepared_Data!F254</f>
        <v>3047</v>
      </c>
      <c r="C290" s="9" t="n">
        <f aca="false">Cleaned_Prepared_Data!E254</f>
        <v>14519.37</v>
      </c>
      <c r="D290" s="9" t="n">
        <f aca="false">Cleaned_Prepared_Data!I254</f>
        <v>90.3</v>
      </c>
      <c r="E290" s="9" t="n">
        <f aca="false">Cleaned_Prepared_Data!H254</f>
        <v>10</v>
      </c>
      <c r="F290" s="9" t="n">
        <f aca="false">Cleaned_Prepared_Data!G254</f>
        <v>0.135</v>
      </c>
      <c r="G290" s="9" t="n">
        <f aca="false">Dummy_Variables!D254</f>
        <v>0</v>
      </c>
      <c r="H290" s="9" t="n">
        <f aca="false">Dummy_Variables!E254</f>
        <v>0</v>
      </c>
      <c r="I290" s="9" t="n">
        <f aca="false">Dummy_Variables!F254</f>
        <v>0</v>
      </c>
    </row>
    <row r="291" customFormat="false" ht="15" hidden="false" customHeight="true" outlineLevel="0" collapsed="false">
      <c r="A291" s="9" t="n">
        <f aca="false">Cleaned_Prepared_Data!M255</f>
        <v>677640.65</v>
      </c>
      <c r="B291" s="9" t="n">
        <f aca="false">Cleaned_Prepared_Data!F255</f>
        <v>4902</v>
      </c>
      <c r="C291" s="9" t="n">
        <f aca="false">Cleaned_Prepared_Data!E255</f>
        <v>51450.55</v>
      </c>
      <c r="D291" s="9" t="n">
        <f aca="false">Cleaned_Prepared_Data!I255</f>
        <v>83.7</v>
      </c>
      <c r="E291" s="9" t="n">
        <f aca="false">Cleaned_Prepared_Data!H255</f>
        <v>11</v>
      </c>
      <c r="F291" s="9" t="n">
        <f aca="false">Cleaned_Prepared_Data!G255</f>
        <v>0.086</v>
      </c>
      <c r="G291" s="9" t="n">
        <f aca="false">Dummy_Variables!D255</f>
        <v>0</v>
      </c>
      <c r="H291" s="9" t="n">
        <f aca="false">Dummy_Variables!E255</f>
        <v>0</v>
      </c>
      <c r="I291" s="9" t="n">
        <f aca="false">Dummy_Variables!F255</f>
        <v>0</v>
      </c>
    </row>
    <row r="292" customFormat="false" ht="15" hidden="false" customHeight="true" outlineLevel="0" collapsed="false">
      <c r="A292" s="9" t="n">
        <f aca="false">Cleaned_Prepared_Data!M256</f>
        <v>636613.23</v>
      </c>
      <c r="B292" s="9" t="n">
        <f aca="false">Cleaned_Prepared_Data!F256</f>
        <v>4022</v>
      </c>
      <c r="C292" s="9" t="n">
        <f aca="false">Cleaned_Prepared_Data!E256</f>
        <v>58688.26</v>
      </c>
      <c r="D292" s="9" t="n">
        <f aca="false">Cleaned_Prepared_Data!I256</f>
        <v>93.8</v>
      </c>
      <c r="E292" s="9" t="n">
        <f aca="false">Cleaned_Prepared_Data!H256</f>
        <v>12</v>
      </c>
      <c r="F292" s="9" t="n">
        <f aca="false">Cleaned_Prepared_Data!G256</f>
        <v>0.217</v>
      </c>
      <c r="G292" s="9" t="n">
        <f aca="false">Dummy_Variables!D256</f>
        <v>0</v>
      </c>
      <c r="H292" s="9" t="n">
        <f aca="false">Dummy_Variables!E256</f>
        <v>0</v>
      </c>
      <c r="I292" s="9" t="n">
        <f aca="false">Dummy_Variables!F256</f>
        <v>0</v>
      </c>
    </row>
    <row r="293" customFormat="false" ht="15" hidden="false" customHeight="true" outlineLevel="0" collapsed="false">
      <c r="A293" s="9" t="n">
        <f aca="false">Cleaned_Prepared_Data!M257</f>
        <v>708985.19</v>
      </c>
      <c r="B293" s="9" t="n">
        <f aca="false">Cleaned_Prepared_Data!F257</f>
        <v>7324</v>
      </c>
      <c r="C293" s="9" t="n">
        <f aca="false">Cleaned_Prepared_Data!E257</f>
        <v>58981.91</v>
      </c>
      <c r="D293" s="9" t="n">
        <f aca="false">Cleaned_Prepared_Data!I257</f>
        <v>95.8</v>
      </c>
      <c r="E293" s="9" t="n">
        <f aca="false">Cleaned_Prepared_Data!H257</f>
        <v>15</v>
      </c>
      <c r="F293" s="9" t="n">
        <f aca="false">Cleaned_Prepared_Data!G257</f>
        <v>0.094</v>
      </c>
      <c r="G293" s="9" t="n">
        <f aca="false">Dummy_Variables!D257</f>
        <v>0</v>
      </c>
      <c r="H293" s="9" t="n">
        <f aca="false">Dummy_Variables!E257</f>
        <v>0</v>
      </c>
      <c r="I293" s="9" t="n">
        <f aca="false">Dummy_Variables!F257</f>
        <v>0</v>
      </c>
    </row>
    <row r="294" customFormat="false" ht="15" hidden="false" customHeight="true" outlineLevel="0" collapsed="false">
      <c r="A294" s="9" t="n">
        <f aca="false">Cleaned_Prepared_Data!M258</f>
        <v>767792.94</v>
      </c>
      <c r="B294" s="9" t="n">
        <f aca="false">Cleaned_Prepared_Data!F258</f>
        <v>8129</v>
      </c>
      <c r="C294" s="9" t="n">
        <f aca="false">Cleaned_Prepared_Data!E258</f>
        <v>73454.54</v>
      </c>
      <c r="D294" s="9" t="n">
        <f aca="false">Cleaned_Prepared_Data!I258</f>
        <v>85.2</v>
      </c>
      <c r="E294" s="9" t="n">
        <f aca="false">Cleaned_Prepared_Data!H258</f>
        <v>20</v>
      </c>
      <c r="F294" s="9" t="n">
        <f aca="false">Cleaned_Prepared_Data!G258</f>
        <v>0.211</v>
      </c>
      <c r="G294" s="9" t="n">
        <f aca="false">Dummy_Variables!D258</f>
        <v>0</v>
      </c>
      <c r="H294" s="9" t="n">
        <f aca="false">Dummy_Variables!E258</f>
        <v>0</v>
      </c>
      <c r="I294" s="9" t="n">
        <f aca="false">Dummy_Variables!F258</f>
        <v>0</v>
      </c>
    </row>
    <row r="295" customFormat="false" ht="15" hidden="false" customHeight="true" outlineLevel="0" collapsed="false">
      <c r="A295" s="9" t="n">
        <f aca="false">Cleaned_Prepared_Data!M259</f>
        <v>745580.51</v>
      </c>
      <c r="B295" s="9" t="n">
        <f aca="false">Cleaned_Prepared_Data!F259</f>
        <v>7969</v>
      </c>
      <c r="C295" s="9" t="n">
        <f aca="false">Cleaned_Prepared_Data!E259</f>
        <v>56602.39</v>
      </c>
      <c r="D295" s="9" t="n">
        <f aca="false">Cleaned_Prepared_Data!I259</f>
        <v>88.3</v>
      </c>
      <c r="E295" s="9" t="n">
        <f aca="false">Cleaned_Prepared_Data!H259</f>
        <v>21</v>
      </c>
      <c r="F295" s="9" t="n">
        <f aca="false">Cleaned_Prepared_Data!G259</f>
        <v>0.17</v>
      </c>
      <c r="G295" s="9" t="n">
        <f aca="false">Dummy_Variables!D259</f>
        <v>0</v>
      </c>
      <c r="H295" s="9" t="n">
        <f aca="false">Dummy_Variables!E259</f>
        <v>0</v>
      </c>
      <c r="I295" s="9" t="n">
        <f aca="false">Dummy_Variables!F259</f>
        <v>0</v>
      </c>
    </row>
    <row r="296" customFormat="false" ht="15" hidden="false" customHeight="true" outlineLevel="0" collapsed="false">
      <c r="A296" s="9" t="n">
        <f aca="false">Cleaned_Prepared_Data!M260</f>
        <v>762328.31</v>
      </c>
      <c r="B296" s="9" t="n">
        <f aca="false">Cleaned_Prepared_Data!F260</f>
        <v>7240</v>
      </c>
      <c r="C296" s="9" t="n">
        <f aca="false">Cleaned_Prepared_Data!E260</f>
        <v>67722.29</v>
      </c>
      <c r="D296" s="9" t="n">
        <f aca="false">Cleaned_Prepared_Data!I260</f>
        <v>92.9</v>
      </c>
      <c r="E296" s="9" t="n">
        <f aca="false">Cleaned_Prepared_Data!H260</f>
        <v>15</v>
      </c>
      <c r="F296" s="9" t="n">
        <f aca="false">Cleaned_Prepared_Data!G260</f>
        <v>0.026</v>
      </c>
      <c r="G296" s="9" t="n">
        <f aca="false">Dummy_Variables!D260</f>
        <v>0</v>
      </c>
      <c r="H296" s="9" t="n">
        <f aca="false">Dummy_Variables!E260</f>
        <v>0</v>
      </c>
      <c r="I296" s="9" t="n">
        <f aca="false">Dummy_Variables!F260</f>
        <v>0</v>
      </c>
    </row>
    <row r="297" customFormat="false" ht="15" hidden="false" customHeight="true" outlineLevel="0" collapsed="false">
      <c r="A297" s="9" t="n">
        <f aca="false">Cleaned_Prepared_Data!M261</f>
        <v>660633.99</v>
      </c>
      <c r="B297" s="9" t="n">
        <f aca="false">Cleaned_Prepared_Data!F261</f>
        <v>8052</v>
      </c>
      <c r="C297" s="9" t="n">
        <f aca="false">Cleaned_Prepared_Data!E261</f>
        <v>48752.92</v>
      </c>
      <c r="D297" s="9" t="n">
        <f aca="false">Cleaned_Prepared_Data!I261</f>
        <v>94.9</v>
      </c>
      <c r="E297" s="9" t="n">
        <f aca="false">Cleaned_Prepared_Data!H261</f>
        <v>16</v>
      </c>
      <c r="F297" s="9" t="n">
        <f aca="false">Cleaned_Prepared_Data!G261</f>
        <v>0.106</v>
      </c>
      <c r="G297" s="9" t="n">
        <f aca="false">Dummy_Variables!D261</f>
        <v>0</v>
      </c>
      <c r="H297" s="9" t="n">
        <f aca="false">Dummy_Variables!E261</f>
        <v>1</v>
      </c>
      <c r="I297" s="9" t="n">
        <f aca="false">Dummy_Variables!F261</f>
        <v>0</v>
      </c>
    </row>
    <row r="298" customFormat="false" ht="15" hidden="false" customHeight="true" outlineLevel="0" collapsed="false">
      <c r="A298" s="9" t="n">
        <f aca="false">Cleaned_Prepared_Data!M262</f>
        <v>739374.56</v>
      </c>
      <c r="B298" s="9" t="n">
        <f aca="false">Cleaned_Prepared_Data!F262</f>
        <v>8018</v>
      </c>
      <c r="C298" s="9" t="n">
        <f aca="false">Cleaned_Prepared_Data!E262</f>
        <v>23914.97</v>
      </c>
      <c r="D298" s="9" t="n">
        <f aca="false">Cleaned_Prepared_Data!I262</f>
        <v>89</v>
      </c>
      <c r="E298" s="9" t="n">
        <f aca="false">Cleaned_Prepared_Data!H262</f>
        <v>20</v>
      </c>
      <c r="F298" s="9" t="n">
        <f aca="false">Cleaned_Prepared_Data!G262</f>
        <v>0.139</v>
      </c>
      <c r="G298" s="9" t="n">
        <f aca="false">Dummy_Variables!D262</f>
        <v>0</v>
      </c>
      <c r="H298" s="9" t="n">
        <f aca="false">Dummy_Variables!E262</f>
        <v>1</v>
      </c>
      <c r="I298" s="9" t="n">
        <f aca="false">Dummy_Variables!F262</f>
        <v>0</v>
      </c>
    </row>
    <row r="299" customFormat="false" ht="15" hidden="false" customHeight="true" outlineLevel="0" collapsed="false">
      <c r="A299" s="9" t="n">
        <f aca="false">Cleaned_Prepared_Data!M263</f>
        <v>799756.46</v>
      </c>
      <c r="B299" s="9" t="n">
        <f aca="false">Cleaned_Prepared_Data!F263</f>
        <v>10192</v>
      </c>
      <c r="C299" s="9" t="n">
        <f aca="false">Cleaned_Prepared_Data!E263</f>
        <v>61995.3</v>
      </c>
      <c r="D299" s="9" t="n">
        <f aca="false">Cleaned_Prepared_Data!I263</f>
        <v>87.6</v>
      </c>
      <c r="E299" s="9" t="n">
        <f aca="false">Cleaned_Prepared_Data!H263</f>
        <v>21</v>
      </c>
      <c r="F299" s="9" t="n">
        <f aca="false">Cleaned_Prepared_Data!G263</f>
        <v>0.198</v>
      </c>
      <c r="G299" s="9" t="n">
        <f aca="false">Dummy_Variables!D263</f>
        <v>0</v>
      </c>
      <c r="H299" s="9" t="n">
        <f aca="false">Dummy_Variables!E263</f>
        <v>1</v>
      </c>
      <c r="I299" s="9" t="n">
        <f aca="false">Dummy_Variables!F263</f>
        <v>0</v>
      </c>
    </row>
    <row r="300" customFormat="false" ht="15" hidden="false" customHeight="true" outlineLevel="0" collapsed="false">
      <c r="A300" s="9" t="n">
        <f aca="false">Cleaned_Prepared_Data!M264</f>
        <v>593343</v>
      </c>
      <c r="B300" s="9" t="n">
        <f aca="false">Cleaned_Prepared_Data!F264</f>
        <v>7446</v>
      </c>
      <c r="C300" s="9" t="n">
        <f aca="false">Cleaned_Prepared_Data!E264</f>
        <v>29344.93</v>
      </c>
      <c r="D300" s="9" t="n">
        <f aca="false">Cleaned_Prepared_Data!I264</f>
        <v>86.2</v>
      </c>
      <c r="E300" s="9" t="n">
        <f aca="false">Cleaned_Prepared_Data!H264</f>
        <v>15</v>
      </c>
      <c r="F300" s="9" t="n">
        <f aca="false">Cleaned_Prepared_Data!G264</f>
        <v>0.111</v>
      </c>
      <c r="G300" s="9" t="n">
        <f aca="false">Dummy_Variables!D264</f>
        <v>0</v>
      </c>
      <c r="H300" s="9" t="n">
        <f aca="false">Dummy_Variables!E264</f>
        <v>1</v>
      </c>
      <c r="I300" s="9" t="n">
        <f aca="false">Dummy_Variables!F264</f>
        <v>0</v>
      </c>
    </row>
    <row r="301" customFormat="false" ht="15" hidden="false" customHeight="true" outlineLevel="0" collapsed="false">
      <c r="A301" s="9" t="n">
        <f aca="false">Cleaned_Prepared_Data!M265</f>
        <v>645039.97</v>
      </c>
      <c r="B301" s="9" t="n">
        <f aca="false">Cleaned_Prepared_Data!F265</f>
        <v>5689</v>
      </c>
      <c r="C301" s="9" t="n">
        <f aca="false">Cleaned_Prepared_Data!E265</f>
        <v>50532.17</v>
      </c>
      <c r="D301" s="9" t="n">
        <f aca="false">Cleaned_Prepared_Data!I265</f>
        <v>85.6</v>
      </c>
      <c r="E301" s="9" t="n">
        <f aca="false">Cleaned_Prepared_Data!H265</f>
        <v>17</v>
      </c>
      <c r="F301" s="9" t="n">
        <f aca="false">Cleaned_Prepared_Data!G265</f>
        <v>0.052</v>
      </c>
      <c r="G301" s="9" t="n">
        <f aca="false">Dummy_Variables!D265</f>
        <v>0</v>
      </c>
      <c r="H301" s="9" t="n">
        <f aca="false">Dummy_Variables!E265</f>
        <v>0</v>
      </c>
      <c r="I301" s="9" t="n">
        <f aca="false">Dummy_Variables!F265</f>
        <v>0</v>
      </c>
    </row>
    <row r="302" customFormat="false" ht="15" hidden="false" customHeight="true" outlineLevel="0" collapsed="false">
      <c r="A302" s="9" t="n">
        <f aca="false">Cleaned_Prepared_Data!M266</f>
        <v>561597.33</v>
      </c>
      <c r="B302" s="9" t="n">
        <f aca="false">Cleaned_Prepared_Data!F266</f>
        <v>3326</v>
      </c>
      <c r="C302" s="9" t="n">
        <f aca="false">Cleaned_Prepared_Data!E266</f>
        <v>17562.57</v>
      </c>
      <c r="D302" s="9" t="n">
        <f aca="false">Cleaned_Prepared_Data!I266</f>
        <v>88.1</v>
      </c>
      <c r="E302" s="9" t="n">
        <f aca="false">Cleaned_Prepared_Data!H266</f>
        <v>14</v>
      </c>
      <c r="F302" s="9" t="n">
        <f aca="false">Cleaned_Prepared_Data!G266</f>
        <v>0.153</v>
      </c>
      <c r="G302" s="9" t="n">
        <f aca="false">Dummy_Variables!D266</f>
        <v>0</v>
      </c>
      <c r="H302" s="9" t="n">
        <f aca="false">Dummy_Variables!E266</f>
        <v>0</v>
      </c>
      <c r="I302" s="9" t="n">
        <f aca="false">Dummy_Variables!F266</f>
        <v>0</v>
      </c>
    </row>
    <row r="303" customFormat="false" ht="15" hidden="false" customHeight="true" outlineLevel="0" collapsed="false">
      <c r="A303" s="9" t="n">
        <f aca="false">Cleaned_Prepared_Data!M267</f>
        <v>635837.74</v>
      </c>
      <c r="B303" s="9" t="n">
        <f aca="false">Cleaned_Prepared_Data!F267</f>
        <v>5767</v>
      </c>
      <c r="C303" s="9" t="n">
        <f aca="false">Cleaned_Prepared_Data!E267</f>
        <v>47648.71</v>
      </c>
      <c r="D303" s="9" t="n">
        <f aca="false">Cleaned_Prepared_Data!I267</f>
        <v>89.8</v>
      </c>
      <c r="E303" s="9" t="n">
        <f aca="false">Cleaned_Prepared_Data!H267</f>
        <v>17</v>
      </c>
      <c r="F303" s="9" t="n">
        <f aca="false">Cleaned_Prepared_Data!G267</f>
        <v>0.141</v>
      </c>
      <c r="G303" s="9" t="n">
        <f aca="false">Dummy_Variables!D267</f>
        <v>0</v>
      </c>
      <c r="H303" s="9" t="n">
        <f aca="false">Dummy_Variables!E267</f>
        <v>0</v>
      </c>
      <c r="I303" s="9" t="n">
        <f aca="false">Dummy_Variables!F267</f>
        <v>0</v>
      </c>
    </row>
    <row r="304" customFormat="false" ht="15" hidden="false" customHeight="true" outlineLevel="0" collapsed="false">
      <c r="A304" s="9" t="n">
        <f aca="false">Cleaned_Prepared_Data!M268</f>
        <v>686737.87</v>
      </c>
      <c r="B304" s="9" t="n">
        <f aca="false">Cleaned_Prepared_Data!F268</f>
        <v>5893</v>
      </c>
      <c r="C304" s="9" t="n">
        <f aca="false">Cleaned_Prepared_Data!E268</f>
        <v>38297.58</v>
      </c>
      <c r="D304" s="9" t="n">
        <f aca="false">Cleaned_Prepared_Data!I268</f>
        <v>77.6</v>
      </c>
      <c r="E304" s="9" t="n">
        <f aca="false">Cleaned_Prepared_Data!H268</f>
        <v>18</v>
      </c>
      <c r="F304" s="9" t="n">
        <f aca="false">Cleaned_Prepared_Data!G268</f>
        <v>0.247</v>
      </c>
      <c r="G304" s="9" t="n">
        <f aca="false">Dummy_Variables!D268</f>
        <v>0</v>
      </c>
      <c r="H304" s="9" t="n">
        <f aca="false">Dummy_Variables!E268</f>
        <v>0</v>
      </c>
      <c r="I304" s="9" t="n">
        <f aca="false">Dummy_Variables!F268</f>
        <v>0</v>
      </c>
    </row>
    <row r="305" customFormat="false" ht="15" hidden="false" customHeight="true" outlineLevel="0" collapsed="false">
      <c r="A305" s="9" t="n">
        <f aca="false">Cleaned_Prepared_Data!M269</f>
        <v>673076.34</v>
      </c>
      <c r="B305" s="9" t="n">
        <f aca="false">Cleaned_Prepared_Data!F269</f>
        <v>8564</v>
      </c>
      <c r="C305" s="9" t="n">
        <f aca="false">Cleaned_Prepared_Data!E269</f>
        <v>61784.11</v>
      </c>
      <c r="D305" s="9" t="n">
        <f aca="false">Cleaned_Prepared_Data!I269</f>
        <v>87.4</v>
      </c>
      <c r="E305" s="9" t="n">
        <f aca="false">Cleaned_Prepared_Data!H269</f>
        <v>17</v>
      </c>
      <c r="F305" s="9" t="n">
        <f aca="false">Cleaned_Prepared_Data!G269</f>
        <v>0.13</v>
      </c>
      <c r="G305" s="9" t="n">
        <f aca="false">Dummy_Variables!D269</f>
        <v>0</v>
      </c>
      <c r="H305" s="9" t="n">
        <f aca="false">Dummy_Variables!E269</f>
        <v>0</v>
      </c>
      <c r="I305" s="9" t="n">
        <f aca="false">Dummy_Variables!F269</f>
        <v>1</v>
      </c>
    </row>
    <row r="306" customFormat="false" ht="15" hidden="false" customHeight="true" outlineLevel="0" collapsed="false">
      <c r="A306" s="9" t="n">
        <f aca="false">Cleaned_Prepared_Data!M270</f>
        <v>738548.42</v>
      </c>
      <c r="B306" s="9" t="n">
        <f aca="false">Cleaned_Prepared_Data!F270</f>
        <v>8001</v>
      </c>
      <c r="C306" s="9" t="n">
        <f aca="false">Cleaned_Prepared_Data!E270</f>
        <v>36832.33</v>
      </c>
      <c r="D306" s="9" t="n">
        <f aca="false">Cleaned_Prepared_Data!I270</f>
        <v>88.7</v>
      </c>
      <c r="E306" s="9" t="n">
        <f aca="false">Cleaned_Prepared_Data!H270</f>
        <v>19</v>
      </c>
      <c r="F306" s="9" t="n">
        <f aca="false">Cleaned_Prepared_Data!G270</f>
        <v>0</v>
      </c>
      <c r="G306" s="9" t="n">
        <f aca="false">Dummy_Variables!D270</f>
        <v>0</v>
      </c>
      <c r="H306" s="9" t="n">
        <f aca="false">Dummy_Variables!E270</f>
        <v>0</v>
      </c>
      <c r="I306" s="9" t="n">
        <f aca="false">Dummy_Variables!F270</f>
        <v>1</v>
      </c>
    </row>
    <row r="307" customFormat="false" ht="15" hidden="false" customHeight="true" outlineLevel="0" collapsed="false">
      <c r="A307" s="9" t="n">
        <f aca="false">Cleaned_Prepared_Data!M271</f>
        <v>756619.77</v>
      </c>
      <c r="B307" s="9" t="n">
        <f aca="false">Cleaned_Prepared_Data!F271</f>
        <v>9324</v>
      </c>
      <c r="C307" s="9" t="n">
        <f aca="false">Cleaned_Prepared_Data!E271</f>
        <v>48609.41</v>
      </c>
      <c r="D307" s="9" t="n">
        <f aca="false">Cleaned_Prepared_Data!I271</f>
        <v>86.5</v>
      </c>
      <c r="E307" s="9" t="n">
        <f aca="false">Cleaned_Prepared_Data!H271</f>
        <v>18</v>
      </c>
      <c r="F307" s="9" t="n">
        <f aca="false">Cleaned_Prepared_Data!G271</f>
        <v>0.213</v>
      </c>
      <c r="G307" s="9" t="n">
        <f aca="false">Dummy_Variables!D271</f>
        <v>0</v>
      </c>
      <c r="H307" s="9" t="n">
        <f aca="false">Dummy_Variables!E271</f>
        <v>0</v>
      </c>
      <c r="I307" s="9" t="n">
        <f aca="false">Dummy_Variables!F271</f>
        <v>1</v>
      </c>
    </row>
    <row r="308" customFormat="false" ht="15" hidden="false" customHeight="true" outlineLevel="0" collapsed="false">
      <c r="A308" s="9" t="n">
        <f aca="false">Cleaned_Prepared_Data!M272</f>
        <v>761122.42</v>
      </c>
      <c r="B308" s="9" t="n">
        <f aca="false">Cleaned_Prepared_Data!F272</f>
        <v>9109</v>
      </c>
      <c r="C308" s="9" t="n">
        <f aca="false">Cleaned_Prepared_Data!E272</f>
        <v>70284.06</v>
      </c>
      <c r="D308" s="9" t="n">
        <f aca="false">Cleaned_Prepared_Data!I272</f>
        <v>87</v>
      </c>
      <c r="E308" s="9" t="n">
        <f aca="false">Cleaned_Prepared_Data!H272</f>
        <v>23</v>
      </c>
      <c r="F308" s="9" t="n">
        <f aca="false">Cleaned_Prepared_Data!G272</f>
        <v>0.004</v>
      </c>
      <c r="G308" s="9" t="n">
        <f aca="false">Dummy_Variables!D272</f>
        <v>0</v>
      </c>
      <c r="H308" s="9" t="n">
        <f aca="false">Dummy_Variables!E272</f>
        <v>0</v>
      </c>
      <c r="I308" s="9" t="n">
        <f aca="false">Dummy_Variables!F272</f>
        <v>1</v>
      </c>
    </row>
    <row r="309" customFormat="false" ht="15" hidden="false" customHeight="true" outlineLevel="0" collapsed="false">
      <c r="A309" s="9" t="n">
        <f aca="false">Cleaned_Prepared_Data!M273</f>
        <v>524899.57</v>
      </c>
      <c r="B309" s="9" t="n">
        <f aca="false">Cleaned_Prepared_Data!F273</f>
        <v>4022</v>
      </c>
      <c r="C309" s="9" t="n">
        <f aca="false">Cleaned_Prepared_Data!E273</f>
        <v>45940.39</v>
      </c>
      <c r="D309" s="9" t="n">
        <f aca="false">Cleaned_Prepared_Data!I273</f>
        <v>83</v>
      </c>
      <c r="E309" s="9" t="n">
        <f aca="false">Cleaned_Prepared_Data!H273</f>
        <v>10</v>
      </c>
      <c r="F309" s="9" t="n">
        <f aca="false">Cleaned_Prepared_Data!G273</f>
        <v>0.069</v>
      </c>
      <c r="G309" s="9" t="n">
        <f aca="false">Dummy_Variables!D273</f>
        <v>0</v>
      </c>
      <c r="H309" s="9" t="n">
        <f aca="false">Dummy_Variables!E273</f>
        <v>0</v>
      </c>
      <c r="I309" s="9" t="n">
        <f aca="false">Dummy_Variables!F273</f>
        <v>0</v>
      </c>
    </row>
    <row r="310" customFormat="false" ht="15" hidden="false" customHeight="true" outlineLevel="0" collapsed="false">
      <c r="A310" s="9" t="n">
        <f aca="false">Cleaned_Prepared_Data!M274</f>
        <v>555557.77</v>
      </c>
      <c r="B310" s="9" t="n">
        <f aca="false">Cleaned_Prepared_Data!F274</f>
        <v>4355</v>
      </c>
      <c r="C310" s="9" t="n">
        <f aca="false">Cleaned_Prepared_Data!E274</f>
        <v>34771.26</v>
      </c>
      <c r="D310" s="9" t="n">
        <f aca="false">Cleaned_Prepared_Data!I274</f>
        <v>87.9</v>
      </c>
      <c r="E310" s="9" t="n">
        <f aca="false">Cleaned_Prepared_Data!H274</f>
        <v>15</v>
      </c>
      <c r="F310" s="9" t="n">
        <f aca="false">Cleaned_Prepared_Data!G274</f>
        <v>0.051</v>
      </c>
      <c r="G310" s="9" t="n">
        <f aca="false">Dummy_Variables!D274</f>
        <v>0</v>
      </c>
      <c r="H310" s="9" t="n">
        <f aca="false">Dummy_Variables!E274</f>
        <v>0</v>
      </c>
      <c r="I310" s="9" t="n">
        <f aca="false">Dummy_Variables!F274</f>
        <v>0</v>
      </c>
    </row>
    <row r="311" customFormat="false" ht="15" hidden="false" customHeight="true" outlineLevel="0" collapsed="false">
      <c r="A311" s="9" t="n">
        <f aca="false">Cleaned_Prepared_Data!M275</f>
        <v>714083.68</v>
      </c>
      <c r="B311" s="9" t="n">
        <f aca="false">Cleaned_Prepared_Data!F275</f>
        <v>5745</v>
      </c>
      <c r="C311" s="9" t="n">
        <f aca="false">Cleaned_Prepared_Data!E275</f>
        <v>66104.19</v>
      </c>
      <c r="D311" s="9" t="n">
        <f aca="false">Cleaned_Prepared_Data!I275</f>
        <v>95.8</v>
      </c>
      <c r="E311" s="9" t="n">
        <f aca="false">Cleaned_Prepared_Data!H275</f>
        <v>17</v>
      </c>
      <c r="F311" s="9" t="n">
        <f aca="false">Cleaned_Prepared_Data!G275</f>
        <v>0.07</v>
      </c>
      <c r="G311" s="9" t="n">
        <f aca="false">Dummy_Variables!D275</f>
        <v>0</v>
      </c>
      <c r="H311" s="9" t="n">
        <f aca="false">Dummy_Variables!E275</f>
        <v>0</v>
      </c>
      <c r="I311" s="9" t="n">
        <f aca="false">Dummy_Variables!F275</f>
        <v>0</v>
      </c>
    </row>
    <row r="312" customFormat="false" ht="15" hidden="false" customHeight="true" outlineLevel="0" collapsed="false">
      <c r="A312" s="9" t="n">
        <f aca="false">Cleaned_Prepared_Data!M276</f>
        <v>497439.82</v>
      </c>
      <c r="B312" s="9" t="n">
        <f aca="false">Cleaned_Prepared_Data!F276</f>
        <v>3027</v>
      </c>
      <c r="C312" s="9" t="n">
        <f aca="false">Cleaned_Prepared_Data!E276</f>
        <v>18599.21</v>
      </c>
      <c r="D312" s="9" t="n">
        <f aca="false">Cleaned_Prepared_Data!I276</f>
        <v>80.9</v>
      </c>
      <c r="E312" s="9" t="n">
        <f aca="false">Cleaned_Prepared_Data!H276</f>
        <v>11</v>
      </c>
      <c r="F312" s="9" t="n">
        <f aca="false">Cleaned_Prepared_Data!G276</f>
        <v>0.122</v>
      </c>
      <c r="G312" s="9" t="n">
        <f aca="false">Dummy_Variables!D276</f>
        <v>0</v>
      </c>
      <c r="H312" s="9" t="n">
        <f aca="false">Dummy_Variables!E276</f>
        <v>0</v>
      </c>
      <c r="I312" s="9" t="n">
        <f aca="false">Dummy_Variables!F276</f>
        <v>0</v>
      </c>
    </row>
    <row r="313" customFormat="false" ht="15" hidden="false" customHeight="true" outlineLevel="0" collapsed="false">
      <c r="A313" s="9" t="n">
        <f aca="false">Cleaned_Prepared_Data!M277</f>
        <v>636775.66</v>
      </c>
      <c r="B313" s="9" t="n">
        <f aca="false">Cleaned_Prepared_Data!F277</f>
        <v>5562</v>
      </c>
      <c r="C313" s="9" t="n">
        <f aca="false">Cleaned_Prepared_Data!E277</f>
        <v>60183.06</v>
      </c>
      <c r="D313" s="9" t="n">
        <f aca="false">Cleaned_Prepared_Data!I277</f>
        <v>86.3</v>
      </c>
      <c r="E313" s="9" t="n">
        <f aca="false">Cleaned_Prepared_Data!H277</f>
        <v>13</v>
      </c>
      <c r="F313" s="9" t="n">
        <f aca="false">Cleaned_Prepared_Data!G277</f>
        <v>0.009</v>
      </c>
      <c r="G313" s="9" t="n">
        <f aca="false">Dummy_Variables!D277</f>
        <v>0</v>
      </c>
      <c r="H313" s="9" t="n">
        <f aca="false">Dummy_Variables!E277</f>
        <v>0</v>
      </c>
      <c r="I313" s="9" t="n">
        <f aca="false">Dummy_Variables!F277</f>
        <v>1</v>
      </c>
    </row>
    <row r="314" customFormat="false" ht="15" hidden="false" customHeight="true" outlineLevel="0" collapsed="false">
      <c r="A314" s="9" t="n">
        <f aca="false">Cleaned_Prepared_Data!M278</f>
        <v>633009.53</v>
      </c>
      <c r="B314" s="9" t="n">
        <f aca="false">Cleaned_Prepared_Data!F278</f>
        <v>4487</v>
      </c>
      <c r="C314" s="9" t="n">
        <f aca="false">Cleaned_Prepared_Data!E278</f>
        <v>74539.14</v>
      </c>
      <c r="D314" s="9" t="n">
        <f aca="false">Cleaned_Prepared_Data!I278</f>
        <v>90.4</v>
      </c>
      <c r="E314" s="9" t="n">
        <f aca="false">Cleaned_Prepared_Data!H278</f>
        <v>10</v>
      </c>
      <c r="F314" s="9" t="n">
        <f aca="false">Cleaned_Prepared_Data!G278</f>
        <v>0.14</v>
      </c>
      <c r="G314" s="9" t="n">
        <f aca="false">Dummy_Variables!D278</f>
        <v>0</v>
      </c>
      <c r="H314" s="9" t="n">
        <f aca="false">Dummy_Variables!E278</f>
        <v>0</v>
      </c>
      <c r="I314" s="9" t="n">
        <f aca="false">Dummy_Variables!F278</f>
        <v>1</v>
      </c>
    </row>
    <row r="315" customFormat="false" ht="15" hidden="false" customHeight="true" outlineLevel="0" collapsed="false">
      <c r="A315" s="9" t="n">
        <f aca="false">Cleaned_Prepared_Data!M279</f>
        <v>609949</v>
      </c>
      <c r="B315" s="9" t="n">
        <f aca="false">Cleaned_Prepared_Data!F279</f>
        <v>4162</v>
      </c>
      <c r="C315" s="9" t="n">
        <f aca="false">Cleaned_Prepared_Data!E279</f>
        <v>55371.97</v>
      </c>
      <c r="D315" s="9" t="n">
        <f aca="false">Cleaned_Prepared_Data!I279</f>
        <v>92</v>
      </c>
      <c r="E315" s="9" t="n">
        <f aca="false">Cleaned_Prepared_Data!H279</f>
        <v>11</v>
      </c>
      <c r="F315" s="9" t="n">
        <f aca="false">Cleaned_Prepared_Data!G279</f>
        <v>0.183</v>
      </c>
      <c r="G315" s="9" t="n">
        <f aca="false">Dummy_Variables!D279</f>
        <v>0</v>
      </c>
      <c r="H315" s="9" t="n">
        <f aca="false">Dummy_Variables!E279</f>
        <v>0</v>
      </c>
      <c r="I315" s="9" t="n">
        <f aca="false">Dummy_Variables!F279</f>
        <v>1</v>
      </c>
    </row>
    <row r="316" customFormat="false" ht="15" hidden="false" customHeight="true" outlineLevel="0" collapsed="false">
      <c r="A316" s="9" t="n">
        <f aca="false">Cleaned_Prepared_Data!M280</f>
        <v>548103.7</v>
      </c>
      <c r="B316" s="9" t="n">
        <f aca="false">Cleaned_Prepared_Data!F280</f>
        <v>4094</v>
      </c>
      <c r="C316" s="9" t="n">
        <f aca="false">Cleaned_Prepared_Data!E280</f>
        <v>40928.69</v>
      </c>
      <c r="D316" s="9" t="n">
        <f aca="false">Cleaned_Prepared_Data!I280</f>
        <v>82.4</v>
      </c>
      <c r="E316" s="9" t="n">
        <f aca="false">Cleaned_Prepared_Data!H280</f>
        <v>13</v>
      </c>
      <c r="F316" s="9" t="n">
        <f aca="false">Cleaned_Prepared_Data!G280</f>
        <v>0.174</v>
      </c>
      <c r="G316" s="9" t="n">
        <f aca="false">Dummy_Variables!D280</f>
        <v>0</v>
      </c>
      <c r="H316" s="9" t="n">
        <f aca="false">Dummy_Variables!E280</f>
        <v>0</v>
      </c>
      <c r="I316" s="9" t="n">
        <f aca="false">Dummy_Variables!F280</f>
        <v>1</v>
      </c>
    </row>
    <row r="317" customFormat="false" ht="15" hidden="false" customHeight="true" outlineLevel="0" collapsed="false">
      <c r="A317" s="9" t="n">
        <f aca="false">Cleaned_Prepared_Data!M281</f>
        <v>729424.42</v>
      </c>
      <c r="B317" s="9" t="n">
        <f aca="false">Cleaned_Prepared_Data!F281</f>
        <v>8484</v>
      </c>
      <c r="C317" s="9" t="n">
        <f aca="false">Cleaned_Prepared_Data!E281</f>
        <v>70012.41</v>
      </c>
      <c r="D317" s="9" t="n">
        <f aca="false">Cleaned_Prepared_Data!I281</f>
        <v>72.9</v>
      </c>
      <c r="E317" s="9" t="n">
        <f aca="false">Cleaned_Prepared_Data!H281</f>
        <v>23</v>
      </c>
      <c r="F317" s="9" t="n">
        <f aca="false">Cleaned_Prepared_Data!G281</f>
        <v>0.273</v>
      </c>
      <c r="G317" s="9" t="n">
        <f aca="false">Dummy_Variables!D281</f>
        <v>0</v>
      </c>
      <c r="H317" s="9" t="n">
        <f aca="false">Dummy_Variables!E281</f>
        <v>0</v>
      </c>
      <c r="I317" s="9" t="n">
        <f aca="false">Dummy_Variables!F281</f>
        <v>1</v>
      </c>
    </row>
    <row r="318" customFormat="false" ht="15" hidden="false" customHeight="true" outlineLevel="0" collapsed="false">
      <c r="A318" s="9" t="n">
        <f aca="false">Cleaned_Prepared_Data!M282</f>
        <v>696261.49</v>
      </c>
      <c r="B318" s="9" t="n">
        <f aca="false">Cleaned_Prepared_Data!F282</f>
        <v>7794</v>
      </c>
      <c r="C318" s="9" t="n">
        <f aca="false">Cleaned_Prepared_Data!E282</f>
        <v>68909.26</v>
      </c>
      <c r="D318" s="9" t="n">
        <f aca="false">Cleaned_Prepared_Data!I282</f>
        <v>89</v>
      </c>
      <c r="E318" s="9" t="n">
        <f aca="false">Cleaned_Prepared_Data!H282</f>
        <v>22</v>
      </c>
      <c r="F318" s="9" t="n">
        <f aca="false">Cleaned_Prepared_Data!G282</f>
        <v>0.284</v>
      </c>
      <c r="G318" s="9" t="n">
        <f aca="false">Dummy_Variables!D282</f>
        <v>0</v>
      </c>
      <c r="H318" s="9" t="n">
        <f aca="false">Dummy_Variables!E282</f>
        <v>0</v>
      </c>
      <c r="I318" s="9" t="n">
        <f aca="false">Dummy_Variables!F282</f>
        <v>1</v>
      </c>
    </row>
    <row r="319" customFormat="false" ht="15" hidden="false" customHeight="true" outlineLevel="0" collapsed="false">
      <c r="A319" s="9" t="n">
        <f aca="false">Cleaned_Prepared_Data!M283</f>
        <v>813316.71</v>
      </c>
      <c r="B319" s="9" t="n">
        <f aca="false">Cleaned_Prepared_Data!F283</f>
        <v>8300</v>
      </c>
      <c r="C319" s="9" t="n">
        <f aca="false">Cleaned_Prepared_Data!E283</f>
        <v>56737.3</v>
      </c>
      <c r="D319" s="9" t="n">
        <f aca="false">Cleaned_Prepared_Data!I283</f>
        <v>83.2</v>
      </c>
      <c r="E319" s="9" t="n">
        <f aca="false">Cleaned_Prepared_Data!H283</f>
        <v>21</v>
      </c>
      <c r="F319" s="9" t="n">
        <f aca="false">Cleaned_Prepared_Data!G283</f>
        <v>0.032</v>
      </c>
      <c r="G319" s="9" t="n">
        <f aca="false">Dummy_Variables!D283</f>
        <v>0</v>
      </c>
      <c r="H319" s="9" t="n">
        <f aca="false">Dummy_Variables!E283</f>
        <v>0</v>
      </c>
      <c r="I319" s="9" t="n">
        <f aca="false">Dummy_Variables!F283</f>
        <v>1</v>
      </c>
    </row>
    <row r="320" customFormat="false" ht="15" hidden="false" customHeight="true" outlineLevel="0" collapsed="false">
      <c r="A320" s="9" t="n">
        <f aca="false">Cleaned_Prepared_Data!M284</f>
        <v>702068.92</v>
      </c>
      <c r="B320" s="9" t="n">
        <f aca="false">Cleaned_Prepared_Data!F284</f>
        <v>7083</v>
      </c>
      <c r="C320" s="9" t="n">
        <f aca="false">Cleaned_Prepared_Data!E284</f>
        <v>54080.91</v>
      </c>
      <c r="D320" s="9" t="n">
        <f aca="false">Cleaned_Prepared_Data!I284</f>
        <v>97</v>
      </c>
      <c r="E320" s="9" t="n">
        <f aca="false">Cleaned_Prepared_Data!H284</f>
        <v>15</v>
      </c>
      <c r="F320" s="9" t="n">
        <f aca="false">Cleaned_Prepared_Data!G284</f>
        <v>0</v>
      </c>
      <c r="G320" s="9" t="n">
        <f aca="false">Dummy_Variables!D284</f>
        <v>0</v>
      </c>
      <c r="H320" s="9" t="n">
        <f aca="false">Dummy_Variables!E284</f>
        <v>0</v>
      </c>
      <c r="I320" s="9" t="n">
        <f aca="false">Dummy_Variables!F284</f>
        <v>1</v>
      </c>
    </row>
    <row r="321" customFormat="false" ht="15" hidden="false" customHeight="true" outlineLevel="0" collapsed="false">
      <c r="A321" s="9" t="n">
        <f aca="false">Cleaned_Prepared_Data!M285</f>
        <v>546223.7</v>
      </c>
      <c r="B321" s="9" t="n">
        <f aca="false">Cleaned_Prepared_Data!F285</f>
        <v>3834</v>
      </c>
      <c r="C321" s="9" t="n">
        <f aca="false">Cleaned_Prepared_Data!E285</f>
        <v>51996.32</v>
      </c>
      <c r="D321" s="9" t="n">
        <f aca="false">Cleaned_Prepared_Data!I285</f>
        <v>86.7</v>
      </c>
      <c r="E321" s="9" t="n">
        <f aca="false">Cleaned_Prepared_Data!H285</f>
        <v>8</v>
      </c>
      <c r="F321" s="9" t="n">
        <f aca="false">Cleaned_Prepared_Data!G285</f>
        <v>0.096</v>
      </c>
      <c r="G321" s="9" t="n">
        <f aca="false">Dummy_Variables!D285</f>
        <v>0</v>
      </c>
      <c r="H321" s="9" t="n">
        <f aca="false">Dummy_Variables!E285</f>
        <v>0</v>
      </c>
      <c r="I321" s="9" t="n">
        <f aca="false">Dummy_Variables!F285</f>
        <v>0</v>
      </c>
    </row>
    <row r="322" customFormat="false" ht="15" hidden="false" customHeight="true" outlineLevel="0" collapsed="false">
      <c r="A322" s="9" t="n">
        <f aca="false">Cleaned_Prepared_Data!M286</f>
        <v>533121.26</v>
      </c>
      <c r="B322" s="9" t="n">
        <f aca="false">Cleaned_Prepared_Data!F286</f>
        <v>2358</v>
      </c>
      <c r="C322" s="9" t="n">
        <f aca="false">Cleaned_Prepared_Data!E286</f>
        <v>40102.88</v>
      </c>
      <c r="D322" s="9" t="n">
        <f aca="false">Cleaned_Prepared_Data!I286</f>
        <v>88.7</v>
      </c>
      <c r="E322" s="9" t="n">
        <f aca="false">Cleaned_Prepared_Data!H286</f>
        <v>9</v>
      </c>
      <c r="F322" s="9" t="n">
        <f aca="false">Cleaned_Prepared_Data!G286</f>
        <v>0.119</v>
      </c>
      <c r="G322" s="9" t="n">
        <f aca="false">Dummy_Variables!D286</f>
        <v>0</v>
      </c>
      <c r="H322" s="9" t="n">
        <f aca="false">Dummy_Variables!E286</f>
        <v>0</v>
      </c>
      <c r="I322" s="9" t="n">
        <f aca="false">Dummy_Variables!F286</f>
        <v>0</v>
      </c>
    </row>
    <row r="323" customFormat="false" ht="15" hidden="false" customHeight="true" outlineLevel="0" collapsed="false">
      <c r="A323" s="9" t="n">
        <f aca="false">Cleaned_Prepared_Data!M287</f>
        <v>498970.32</v>
      </c>
      <c r="B323" s="9" t="n">
        <f aca="false">Cleaned_Prepared_Data!F287</f>
        <v>1231</v>
      </c>
      <c r="C323" s="9" t="n">
        <f aca="false">Cleaned_Prepared_Data!E287</f>
        <v>59825.51</v>
      </c>
      <c r="D323" s="9" t="n">
        <f aca="false">Cleaned_Prepared_Data!I287</f>
        <v>84.8</v>
      </c>
      <c r="E323" s="9" t="n">
        <f aca="false">Cleaned_Prepared_Data!H287</f>
        <v>10</v>
      </c>
      <c r="F323" s="9" t="n">
        <f aca="false">Cleaned_Prepared_Data!G287</f>
        <v>0.214</v>
      </c>
      <c r="G323" s="9" t="n">
        <f aca="false">Dummy_Variables!D287</f>
        <v>0</v>
      </c>
      <c r="H323" s="9" t="n">
        <f aca="false">Dummy_Variables!E287</f>
        <v>0</v>
      </c>
      <c r="I323" s="9" t="n">
        <f aca="false">Dummy_Variables!F287</f>
        <v>0</v>
      </c>
    </row>
    <row r="324" customFormat="false" ht="15" hidden="false" customHeight="true" outlineLevel="0" collapsed="false">
      <c r="A324" s="9" t="n">
        <f aca="false">Cleaned_Prepared_Data!M288</f>
        <v>487738.26</v>
      </c>
      <c r="B324" s="9" t="n">
        <f aca="false">Cleaned_Prepared_Data!F288</f>
        <v>1723</v>
      </c>
      <c r="C324" s="9" t="n">
        <f aca="false">Cleaned_Prepared_Data!E288</f>
        <v>27398.28</v>
      </c>
      <c r="D324" s="9" t="n">
        <f aca="false">Cleaned_Prepared_Data!I288</f>
        <v>81</v>
      </c>
      <c r="E324" s="9" t="n">
        <f aca="false">Cleaned_Prepared_Data!H288</f>
        <v>9</v>
      </c>
      <c r="F324" s="9" t="n">
        <f aca="false">Cleaned_Prepared_Data!G288</f>
        <v>0.171</v>
      </c>
      <c r="G324" s="9" t="n">
        <f aca="false">Dummy_Variables!D288</f>
        <v>0</v>
      </c>
      <c r="H324" s="9" t="n">
        <f aca="false">Dummy_Variables!E288</f>
        <v>0</v>
      </c>
      <c r="I324" s="9" t="n">
        <f aca="false">Dummy_Variables!F288</f>
        <v>0</v>
      </c>
    </row>
    <row r="325" customFormat="false" ht="15" hidden="false" customHeight="true" outlineLevel="0" collapsed="false">
      <c r="A325" s="9" t="n">
        <f aca="false">Cleaned_Prepared_Data!M289</f>
        <v>668459.37</v>
      </c>
      <c r="B325" s="9" t="n">
        <f aca="false">Cleaned_Prepared_Data!F289</f>
        <v>5896</v>
      </c>
      <c r="C325" s="9" t="n">
        <f aca="false">Cleaned_Prepared_Data!E289</f>
        <v>55599.56</v>
      </c>
      <c r="D325" s="9" t="n">
        <f aca="false">Cleaned_Prepared_Data!I289</f>
        <v>93.1</v>
      </c>
      <c r="E325" s="9" t="n">
        <f aca="false">Cleaned_Prepared_Data!H289</f>
        <v>12</v>
      </c>
      <c r="F325" s="9" t="n">
        <f aca="false">Cleaned_Prepared_Data!G289</f>
        <v>0.036</v>
      </c>
      <c r="G325" s="9" t="n">
        <f aca="false">Dummy_Variables!D289</f>
        <v>0</v>
      </c>
      <c r="H325" s="9" t="n">
        <f aca="false">Dummy_Variables!E289</f>
        <v>0</v>
      </c>
      <c r="I325" s="9" t="n">
        <f aca="false">Dummy_Variables!F289</f>
        <v>0</v>
      </c>
    </row>
    <row r="326" customFormat="false" ht="15" hidden="false" customHeight="true" outlineLevel="0" collapsed="false">
      <c r="A326" s="9" t="n">
        <f aca="false">Cleaned_Prepared_Data!M290</f>
        <v>763162.45</v>
      </c>
      <c r="B326" s="9" t="n">
        <f aca="false">Cleaned_Prepared_Data!F290</f>
        <v>5903</v>
      </c>
      <c r="C326" s="9" t="n">
        <f aca="false">Cleaned_Prepared_Data!E290</f>
        <v>55477.61</v>
      </c>
      <c r="D326" s="9" t="n">
        <f aca="false">Cleaned_Prepared_Data!I290</f>
        <v>96.2</v>
      </c>
      <c r="E326" s="9" t="n">
        <f aca="false">Cleaned_Prepared_Data!H290</f>
        <v>14</v>
      </c>
      <c r="F326" s="9" t="n">
        <f aca="false">Cleaned_Prepared_Data!G290</f>
        <v>0.102</v>
      </c>
      <c r="G326" s="9" t="n">
        <f aca="false">Dummy_Variables!D290</f>
        <v>0</v>
      </c>
      <c r="H326" s="9" t="n">
        <f aca="false">Dummy_Variables!E290</f>
        <v>0</v>
      </c>
      <c r="I326" s="9" t="n">
        <f aca="false">Dummy_Variables!F290</f>
        <v>0</v>
      </c>
    </row>
    <row r="327" customFormat="false" ht="15" hidden="false" customHeight="true" outlineLevel="0" collapsed="false">
      <c r="A327" s="9" t="n">
        <f aca="false">Cleaned_Prepared_Data!M291</f>
        <v>599017.33</v>
      </c>
      <c r="B327" s="9" t="n">
        <f aca="false">Cleaned_Prepared_Data!F291</f>
        <v>4898</v>
      </c>
      <c r="C327" s="9" t="n">
        <f aca="false">Cleaned_Prepared_Data!E291</f>
        <v>46174.7</v>
      </c>
      <c r="D327" s="9" t="n">
        <f aca="false">Cleaned_Prepared_Data!I291</f>
        <v>91.7</v>
      </c>
      <c r="E327" s="9" t="n">
        <f aca="false">Cleaned_Prepared_Data!H291</f>
        <v>11</v>
      </c>
      <c r="F327" s="9" t="n">
        <f aca="false">Cleaned_Prepared_Data!G291</f>
        <v>0.114</v>
      </c>
      <c r="G327" s="9" t="n">
        <f aca="false">Dummy_Variables!D291</f>
        <v>0</v>
      </c>
      <c r="H327" s="9" t="n">
        <f aca="false">Dummy_Variables!E291</f>
        <v>0</v>
      </c>
      <c r="I327" s="9" t="n">
        <f aca="false">Dummy_Variables!F291</f>
        <v>0</v>
      </c>
    </row>
    <row r="328" customFormat="false" ht="15" hidden="false" customHeight="true" outlineLevel="0" collapsed="false">
      <c r="A328" s="9" t="n">
        <f aca="false">Cleaned_Prepared_Data!M292</f>
        <v>401582.58</v>
      </c>
      <c r="B328" s="9" t="n">
        <f aca="false">Cleaned_Prepared_Data!F292</f>
        <v>1462</v>
      </c>
      <c r="C328" s="9" t="n">
        <f aca="false">Cleaned_Prepared_Data!E292</f>
        <v>24362.98</v>
      </c>
      <c r="D328" s="9" t="n">
        <f aca="false">Cleaned_Prepared_Data!I292</f>
        <v>89.3</v>
      </c>
      <c r="E328" s="9" t="n">
        <f aca="false">Cleaned_Prepared_Data!H292</f>
        <v>6</v>
      </c>
      <c r="F328" s="9" t="n">
        <f aca="false">Cleaned_Prepared_Data!G292</f>
        <v>0.117</v>
      </c>
      <c r="G328" s="9" t="n">
        <f aca="false">Dummy_Variables!D292</f>
        <v>0</v>
      </c>
      <c r="H328" s="9" t="n">
        <f aca="false">Dummy_Variables!E292</f>
        <v>0</v>
      </c>
      <c r="I328" s="9" t="n">
        <f aca="false">Dummy_Variables!F292</f>
        <v>0</v>
      </c>
    </row>
    <row r="329" customFormat="false" ht="15" hidden="false" customHeight="true" outlineLevel="0" collapsed="false">
      <c r="A329" s="9" t="n">
        <f aca="false">Cleaned_Prepared_Data!M293</f>
        <v>703812.99</v>
      </c>
      <c r="B329" s="9" t="n">
        <f aca="false">Cleaned_Prepared_Data!F293</f>
        <v>8252</v>
      </c>
      <c r="C329" s="9" t="n">
        <f aca="false">Cleaned_Prepared_Data!E293</f>
        <v>40647.67</v>
      </c>
      <c r="D329" s="9" t="n">
        <f aca="false">Cleaned_Prepared_Data!I293</f>
        <v>88.2</v>
      </c>
      <c r="E329" s="9" t="n">
        <f aca="false">Cleaned_Prepared_Data!H293</f>
        <v>22</v>
      </c>
      <c r="F329" s="9" t="n">
        <f aca="false">Cleaned_Prepared_Data!G293</f>
        <v>0.141</v>
      </c>
      <c r="G329" s="9" t="n">
        <f aca="false">Dummy_Variables!D293</f>
        <v>0</v>
      </c>
      <c r="H329" s="9" t="n">
        <f aca="false">Dummy_Variables!E293</f>
        <v>1</v>
      </c>
      <c r="I329" s="9" t="n">
        <f aca="false">Dummy_Variables!F293</f>
        <v>0</v>
      </c>
    </row>
    <row r="330" customFormat="false" ht="15" hidden="false" customHeight="true" outlineLevel="0" collapsed="false">
      <c r="A330" s="9" t="n">
        <f aca="false">Cleaned_Prepared_Data!M294</f>
        <v>724346.73</v>
      </c>
      <c r="B330" s="9" t="n">
        <f aca="false">Cleaned_Prepared_Data!F294</f>
        <v>7989</v>
      </c>
      <c r="C330" s="9" t="n">
        <f aca="false">Cleaned_Prepared_Data!E294</f>
        <v>63986.98</v>
      </c>
      <c r="D330" s="9" t="n">
        <f aca="false">Cleaned_Prepared_Data!I294</f>
        <v>83.3</v>
      </c>
      <c r="E330" s="9" t="n">
        <f aca="false">Cleaned_Prepared_Data!H294</f>
        <v>20</v>
      </c>
      <c r="F330" s="9" t="n">
        <f aca="false">Cleaned_Prepared_Data!G294</f>
        <v>0.074</v>
      </c>
      <c r="G330" s="9" t="n">
        <f aca="false">Dummy_Variables!D294</f>
        <v>0</v>
      </c>
      <c r="H330" s="9" t="n">
        <f aca="false">Dummy_Variables!E294</f>
        <v>1</v>
      </c>
      <c r="I330" s="9" t="n">
        <f aca="false">Dummy_Variables!F294</f>
        <v>0</v>
      </c>
    </row>
    <row r="331" customFormat="false" ht="15" hidden="false" customHeight="true" outlineLevel="0" collapsed="false">
      <c r="A331" s="9" t="n">
        <f aca="false">Cleaned_Prepared_Data!M295</f>
        <v>730890.01</v>
      </c>
      <c r="B331" s="9" t="n">
        <f aca="false">Cleaned_Prepared_Data!F295</f>
        <v>8268</v>
      </c>
      <c r="C331" s="9" t="n">
        <f aca="false">Cleaned_Prepared_Data!E295</f>
        <v>52843.75</v>
      </c>
      <c r="D331" s="9" t="n">
        <f aca="false">Cleaned_Prepared_Data!I295</f>
        <v>87.3</v>
      </c>
      <c r="E331" s="9" t="n">
        <f aca="false">Cleaned_Prepared_Data!H295</f>
        <v>19</v>
      </c>
      <c r="F331" s="9" t="n">
        <f aca="false">Cleaned_Prepared_Data!G295</f>
        <v>0.138</v>
      </c>
      <c r="G331" s="9" t="n">
        <f aca="false">Dummy_Variables!D295</f>
        <v>0</v>
      </c>
      <c r="H331" s="9" t="n">
        <f aca="false">Dummy_Variables!E295</f>
        <v>1</v>
      </c>
      <c r="I331" s="9" t="n">
        <f aca="false">Dummy_Variables!F295</f>
        <v>0</v>
      </c>
    </row>
    <row r="332" customFormat="false" ht="15" hidden="false" customHeight="true" outlineLevel="0" collapsed="false">
      <c r="A332" s="9" t="n">
        <f aca="false">Cleaned_Prepared_Data!M296</f>
        <v>780580.95</v>
      </c>
      <c r="B332" s="9" t="n">
        <f aca="false">Cleaned_Prepared_Data!F296</f>
        <v>8183</v>
      </c>
      <c r="C332" s="9" t="n">
        <f aca="false">Cleaned_Prepared_Data!E296</f>
        <v>31997.25</v>
      </c>
      <c r="D332" s="9" t="n">
        <f aca="false">Cleaned_Prepared_Data!I296</f>
        <v>93</v>
      </c>
      <c r="E332" s="9" t="n">
        <f aca="false">Cleaned_Prepared_Data!H296</f>
        <v>18</v>
      </c>
      <c r="F332" s="9" t="n">
        <f aca="false">Cleaned_Prepared_Data!G296</f>
        <v>0.198</v>
      </c>
      <c r="G332" s="9" t="n">
        <f aca="false">Dummy_Variables!D296</f>
        <v>0</v>
      </c>
      <c r="H332" s="9" t="n">
        <f aca="false">Dummy_Variables!E296</f>
        <v>1</v>
      </c>
      <c r="I332" s="9" t="n">
        <f aca="false">Dummy_Variables!F296</f>
        <v>0</v>
      </c>
    </row>
    <row r="333" customFormat="false" ht="15" hidden="false" customHeight="true" outlineLevel="0" collapsed="false">
      <c r="A333" s="9" t="n">
        <f aca="false">Cleaned_Prepared_Data!M297</f>
        <v>727957.48</v>
      </c>
      <c r="B333" s="9" t="n">
        <f aca="false">Cleaned_Prepared_Data!F297</f>
        <v>6534</v>
      </c>
      <c r="C333" s="9" t="n">
        <f aca="false">Cleaned_Prepared_Data!E297</f>
        <v>54948.02</v>
      </c>
      <c r="D333" s="9" t="n">
        <f aca="false">Cleaned_Prepared_Data!I297</f>
        <v>94.5</v>
      </c>
      <c r="E333" s="9" t="n">
        <f aca="false">Cleaned_Prepared_Data!H297</f>
        <v>14</v>
      </c>
      <c r="F333" s="9" t="n">
        <f aca="false">Cleaned_Prepared_Data!G297</f>
        <v>0.183</v>
      </c>
      <c r="G333" s="9" t="n">
        <f aca="false">Dummy_Variables!D297</f>
        <v>0</v>
      </c>
      <c r="H333" s="9" t="n">
        <f aca="false">Dummy_Variables!E297</f>
        <v>0</v>
      </c>
      <c r="I333" s="9" t="n">
        <f aca="false">Dummy_Variables!F297</f>
        <v>1</v>
      </c>
    </row>
    <row r="334" customFormat="false" ht="15" hidden="false" customHeight="true" outlineLevel="0" collapsed="false">
      <c r="A334" s="9" t="n">
        <f aca="false">Cleaned_Prepared_Data!M298</f>
        <v>538376</v>
      </c>
      <c r="B334" s="9" t="n">
        <f aca="false">Cleaned_Prepared_Data!F298</f>
        <v>5804</v>
      </c>
      <c r="C334" s="9" t="n">
        <f aca="false">Cleaned_Prepared_Data!E298</f>
        <v>46146.24</v>
      </c>
      <c r="D334" s="9" t="n">
        <f aca="false">Cleaned_Prepared_Data!I298</f>
        <v>86.9</v>
      </c>
      <c r="E334" s="9" t="n">
        <f aca="false">Cleaned_Prepared_Data!H298</f>
        <v>16</v>
      </c>
      <c r="F334" s="9" t="n">
        <f aca="false">Cleaned_Prepared_Data!G298</f>
        <v>0.047</v>
      </c>
      <c r="G334" s="9" t="n">
        <f aca="false">Dummy_Variables!D298</f>
        <v>0</v>
      </c>
      <c r="H334" s="9" t="n">
        <f aca="false">Dummy_Variables!E298</f>
        <v>0</v>
      </c>
      <c r="I334" s="9" t="n">
        <f aca="false">Dummy_Variables!F298</f>
        <v>1</v>
      </c>
    </row>
    <row r="335" customFormat="false" ht="15" hidden="false" customHeight="true" outlineLevel="0" collapsed="false">
      <c r="A335" s="9" t="n">
        <f aca="false">Cleaned_Prepared_Data!M299</f>
        <v>665342.49</v>
      </c>
      <c r="B335" s="9" t="n">
        <f aca="false">Cleaned_Prepared_Data!F299</f>
        <v>6301</v>
      </c>
      <c r="C335" s="9" t="n">
        <f aca="false">Cleaned_Prepared_Data!E299</f>
        <v>22387.26</v>
      </c>
      <c r="D335" s="9" t="n">
        <f aca="false">Cleaned_Prepared_Data!I299</f>
        <v>85.9</v>
      </c>
      <c r="E335" s="9" t="n">
        <f aca="false">Cleaned_Prepared_Data!H299</f>
        <v>14</v>
      </c>
      <c r="F335" s="9" t="n">
        <f aca="false">Cleaned_Prepared_Data!G299</f>
        <v>0.146</v>
      </c>
      <c r="G335" s="9" t="n">
        <f aca="false">Dummy_Variables!D299</f>
        <v>0</v>
      </c>
      <c r="H335" s="9" t="n">
        <f aca="false">Dummy_Variables!E299</f>
        <v>0</v>
      </c>
      <c r="I335" s="9" t="n">
        <f aca="false">Dummy_Variables!F299</f>
        <v>1</v>
      </c>
    </row>
    <row r="336" customFormat="false" ht="15" hidden="false" customHeight="true" outlineLevel="0" collapsed="false">
      <c r="A336" s="9" t="n">
        <f aca="false">Cleaned_Prepared_Data!M300</f>
        <v>651164.18</v>
      </c>
      <c r="B336" s="9" t="n">
        <f aca="false">Cleaned_Prepared_Data!F300</f>
        <v>6399</v>
      </c>
      <c r="C336" s="9" t="n">
        <f aca="false">Cleaned_Prepared_Data!E300</f>
        <v>60684.05</v>
      </c>
      <c r="D336" s="9" t="n">
        <f aca="false">Cleaned_Prepared_Data!I300</f>
        <v>99</v>
      </c>
      <c r="E336" s="9" t="n">
        <f aca="false">Cleaned_Prepared_Data!H300</f>
        <v>16</v>
      </c>
      <c r="F336" s="9" t="n">
        <f aca="false">Cleaned_Prepared_Data!G300</f>
        <v>0.075</v>
      </c>
      <c r="G336" s="9" t="n">
        <f aca="false">Dummy_Variables!D300</f>
        <v>0</v>
      </c>
      <c r="H336" s="9" t="n">
        <f aca="false">Dummy_Variables!E300</f>
        <v>0</v>
      </c>
      <c r="I336" s="9" t="n">
        <f aca="false">Dummy_Variables!F300</f>
        <v>1</v>
      </c>
    </row>
    <row r="337" customFormat="false" ht="15" hidden="false" customHeight="true" outlineLevel="0" collapsed="false">
      <c r="A337" s="9" t="n">
        <f aca="false">Cleaned_Prepared_Data!M301</f>
        <v>628538.3</v>
      </c>
      <c r="B337" s="9" t="n">
        <f aca="false">Cleaned_Prepared_Data!F301</f>
        <v>5759</v>
      </c>
      <c r="C337" s="9" t="n">
        <f aca="false">Cleaned_Prepared_Data!E301</f>
        <v>48465.6</v>
      </c>
      <c r="D337" s="9" t="n">
        <f aca="false">Cleaned_Prepared_Data!I301</f>
        <v>87.5</v>
      </c>
      <c r="E337" s="9" t="n">
        <f aca="false">Cleaned_Prepared_Data!H301</f>
        <v>13</v>
      </c>
      <c r="F337" s="9" t="n">
        <f aca="false">Cleaned_Prepared_Data!G301</f>
        <v>0.154</v>
      </c>
      <c r="G337" s="9" t="n">
        <f aca="false">Dummy_Variables!D301</f>
        <v>0</v>
      </c>
      <c r="H337" s="9" t="n">
        <f aca="false">Dummy_Variables!E301</f>
        <v>0</v>
      </c>
      <c r="I337" s="9" t="n">
        <f aca="false">Dummy_Variables!F301</f>
        <v>0</v>
      </c>
    </row>
    <row r="338" customFormat="false" ht="15" hidden="false" customHeight="true" outlineLevel="0" collapsed="false">
      <c r="A338" s="9" t="n">
        <f aca="false">Cleaned_Prepared_Data!M302</f>
        <v>536524.84</v>
      </c>
      <c r="B338" s="9" t="n">
        <f aca="false">Cleaned_Prepared_Data!F302</f>
        <v>5285</v>
      </c>
      <c r="C338" s="9" t="n">
        <f aca="false">Cleaned_Prepared_Data!E302</f>
        <v>23702.38</v>
      </c>
      <c r="D338" s="9" t="n">
        <f aca="false">Cleaned_Prepared_Data!I302</f>
        <v>79.7</v>
      </c>
      <c r="E338" s="9" t="n">
        <f aca="false">Cleaned_Prepared_Data!H302</f>
        <v>14</v>
      </c>
      <c r="F338" s="9" t="n">
        <f aca="false">Cleaned_Prepared_Data!G302</f>
        <v>0.167</v>
      </c>
      <c r="G338" s="9" t="n">
        <f aca="false">Dummy_Variables!D302</f>
        <v>0</v>
      </c>
      <c r="H338" s="9" t="n">
        <f aca="false">Dummy_Variables!E302</f>
        <v>0</v>
      </c>
      <c r="I338" s="9" t="n">
        <f aca="false">Dummy_Variables!F302</f>
        <v>0</v>
      </c>
    </row>
    <row r="339" customFormat="false" ht="15" hidden="false" customHeight="true" outlineLevel="0" collapsed="false">
      <c r="A339" s="9" t="n">
        <f aca="false">Cleaned_Prepared_Data!M303</f>
        <v>621677.3</v>
      </c>
      <c r="B339" s="9" t="n">
        <f aca="false">Cleaned_Prepared_Data!F303</f>
        <v>5434</v>
      </c>
      <c r="C339" s="9" t="n">
        <f aca="false">Cleaned_Prepared_Data!E303</f>
        <v>54322.94</v>
      </c>
      <c r="D339" s="9" t="n">
        <f aca="false">Cleaned_Prepared_Data!I303</f>
        <v>85.7</v>
      </c>
      <c r="E339" s="9" t="n">
        <f aca="false">Cleaned_Prepared_Data!H303</f>
        <v>13</v>
      </c>
      <c r="F339" s="9" t="n">
        <f aca="false">Cleaned_Prepared_Data!G303</f>
        <v>0.2</v>
      </c>
      <c r="G339" s="9" t="n">
        <f aca="false">Dummy_Variables!D303</f>
        <v>0</v>
      </c>
      <c r="H339" s="9" t="n">
        <f aca="false">Dummy_Variables!E303</f>
        <v>0</v>
      </c>
      <c r="I339" s="9" t="n">
        <f aca="false">Dummy_Variables!F303</f>
        <v>0</v>
      </c>
    </row>
    <row r="340" customFormat="false" ht="15" hidden="false" customHeight="true" outlineLevel="0" collapsed="false">
      <c r="A340" s="9" t="n">
        <f aca="false">Cleaned_Prepared_Data!M304</f>
        <v>702052.47</v>
      </c>
      <c r="B340" s="9" t="n">
        <f aca="false">Cleaned_Prepared_Data!F304</f>
        <v>6164</v>
      </c>
      <c r="C340" s="9" t="n">
        <f aca="false">Cleaned_Prepared_Data!E304</f>
        <v>78967.52</v>
      </c>
      <c r="D340" s="9" t="n">
        <f aca="false">Cleaned_Prepared_Data!I304</f>
        <v>85.5</v>
      </c>
      <c r="E340" s="9" t="n">
        <f aca="false">Cleaned_Prepared_Data!H304</f>
        <v>16</v>
      </c>
      <c r="F340" s="9" t="n">
        <f aca="false">Cleaned_Prepared_Data!G304</f>
        <v>0.021</v>
      </c>
      <c r="G340" s="9" t="n">
        <f aca="false">Dummy_Variables!D304</f>
        <v>0</v>
      </c>
      <c r="H340" s="9" t="n">
        <f aca="false">Dummy_Variables!E304</f>
        <v>0</v>
      </c>
      <c r="I340" s="9" t="n">
        <f aca="false">Dummy_Variables!F304</f>
        <v>1</v>
      </c>
    </row>
    <row r="341" customFormat="false" ht="15" hidden="false" customHeight="true" outlineLevel="0" collapsed="false">
      <c r="A341" s="9" t="n">
        <f aca="false">Cleaned_Prepared_Data!M305</f>
        <v>712375.77</v>
      </c>
      <c r="B341" s="9" t="n">
        <f aca="false">Cleaned_Prepared_Data!F305</f>
        <v>6000</v>
      </c>
      <c r="C341" s="9" t="n">
        <f aca="false">Cleaned_Prepared_Data!E305</f>
        <v>62507.16</v>
      </c>
      <c r="D341" s="9" t="n">
        <f aca="false">Cleaned_Prepared_Data!I305</f>
        <v>98.2</v>
      </c>
      <c r="E341" s="9" t="n">
        <f aca="false">Cleaned_Prepared_Data!H305</f>
        <v>14</v>
      </c>
      <c r="F341" s="9" t="n">
        <f aca="false">Cleaned_Prepared_Data!G305</f>
        <v>0.091</v>
      </c>
      <c r="G341" s="9" t="n">
        <f aca="false">Dummy_Variables!D305</f>
        <v>0</v>
      </c>
      <c r="H341" s="9" t="n">
        <f aca="false">Dummy_Variables!E305</f>
        <v>0</v>
      </c>
      <c r="I341" s="9" t="n">
        <f aca="false">Dummy_Variables!F305</f>
        <v>1</v>
      </c>
    </row>
    <row r="342" customFormat="false" ht="15" hidden="false" customHeight="true" outlineLevel="0" collapsed="false">
      <c r="A342" s="9" t="n">
        <f aca="false">Cleaned_Prepared_Data!M306</f>
        <v>844710.67</v>
      </c>
      <c r="B342" s="9" t="n">
        <f aca="false">Cleaned_Prepared_Data!F306</f>
        <v>9967</v>
      </c>
      <c r="C342" s="9" t="n">
        <f aca="false">Cleaned_Prepared_Data!E306</f>
        <v>66456.28</v>
      </c>
      <c r="D342" s="9" t="n">
        <f aca="false">Cleaned_Prepared_Data!I306</f>
        <v>94.7</v>
      </c>
      <c r="E342" s="9" t="n">
        <f aca="false">Cleaned_Prepared_Data!H306</f>
        <v>20</v>
      </c>
      <c r="F342" s="9" t="n">
        <f aca="false">Cleaned_Prepared_Data!G306</f>
        <v>0.108</v>
      </c>
      <c r="G342" s="9" t="n">
        <f aca="false">Dummy_Variables!D306</f>
        <v>0</v>
      </c>
      <c r="H342" s="9" t="n">
        <f aca="false">Dummy_Variables!E306</f>
        <v>0</v>
      </c>
      <c r="I342" s="9" t="n">
        <f aca="false">Dummy_Variables!F306</f>
        <v>1</v>
      </c>
    </row>
    <row r="343" customFormat="false" ht="15" hidden="false" customHeight="true" outlineLevel="0" collapsed="false">
      <c r="A343" s="9" t="n">
        <f aca="false">Cleaned_Prepared_Data!M307</f>
        <v>620264.2</v>
      </c>
      <c r="B343" s="9" t="n">
        <f aca="false">Cleaned_Prepared_Data!F307</f>
        <v>5639</v>
      </c>
      <c r="C343" s="9" t="n">
        <f aca="false">Cleaned_Prepared_Data!E307</f>
        <v>76614.32</v>
      </c>
      <c r="D343" s="9" t="n">
        <f aca="false">Cleaned_Prepared_Data!I307</f>
        <v>92.9</v>
      </c>
      <c r="E343" s="9" t="n">
        <f aca="false">Cleaned_Prepared_Data!H307</f>
        <v>15</v>
      </c>
      <c r="F343" s="9" t="n">
        <f aca="false">Cleaned_Prepared_Data!G307</f>
        <v>0.174</v>
      </c>
      <c r="G343" s="9" t="n">
        <f aca="false">Dummy_Variables!D307</f>
        <v>0</v>
      </c>
      <c r="H343" s="9" t="n">
        <f aca="false">Dummy_Variables!E307</f>
        <v>0</v>
      </c>
      <c r="I343" s="9" t="n">
        <f aca="false">Dummy_Variables!F307</f>
        <v>1</v>
      </c>
    </row>
    <row r="344" customFormat="false" ht="15" hidden="false" customHeight="true" outlineLevel="0" collapsed="false">
      <c r="A344" s="9" t="n">
        <f aca="false">Cleaned_Prepared_Data!M308</f>
        <v>536845.42</v>
      </c>
      <c r="B344" s="9" t="n">
        <f aca="false">Cleaned_Prepared_Data!F308</f>
        <v>3466</v>
      </c>
      <c r="C344" s="9" t="n">
        <f aca="false">Cleaned_Prepared_Data!E308</f>
        <v>24088.06</v>
      </c>
      <c r="D344" s="9" t="n">
        <f aca="false">Cleaned_Prepared_Data!I308</f>
        <v>88</v>
      </c>
      <c r="E344" s="9" t="n">
        <f aca="false">Cleaned_Prepared_Data!H308</f>
        <v>11</v>
      </c>
      <c r="F344" s="9" t="n">
        <f aca="false">Cleaned_Prepared_Data!G308</f>
        <v>0</v>
      </c>
      <c r="G344" s="9" t="n">
        <f aca="false">Dummy_Variables!D308</f>
        <v>0</v>
      </c>
      <c r="H344" s="9" t="n">
        <f aca="false">Dummy_Variables!E308</f>
        <v>0</v>
      </c>
      <c r="I344" s="9" t="n">
        <f aca="false">Dummy_Variables!F308</f>
        <v>1</v>
      </c>
    </row>
    <row r="345" customFormat="false" ht="15" hidden="false" customHeight="true" outlineLevel="0" collapsed="false">
      <c r="A345" s="9" t="n">
        <f aca="false">Cleaned_Prepared_Data!M309</f>
        <v>726776.22</v>
      </c>
      <c r="B345" s="9" t="n">
        <f aca="false">Cleaned_Prepared_Data!F309</f>
        <v>7775</v>
      </c>
      <c r="C345" s="9" t="n">
        <f aca="false">Cleaned_Prepared_Data!E309</f>
        <v>81902.58</v>
      </c>
      <c r="D345" s="9" t="n">
        <f aca="false">Cleaned_Prepared_Data!I309</f>
        <v>85.2</v>
      </c>
      <c r="E345" s="9" t="n">
        <f aca="false">Cleaned_Prepared_Data!H309</f>
        <v>20</v>
      </c>
      <c r="F345" s="9" t="n">
        <f aca="false">Cleaned_Prepared_Data!G309</f>
        <v>0.215</v>
      </c>
      <c r="G345" s="9" t="n">
        <f aca="false">Dummy_Variables!D309</f>
        <v>0</v>
      </c>
      <c r="H345" s="9" t="n">
        <f aca="false">Dummy_Variables!E309</f>
        <v>0</v>
      </c>
      <c r="I345" s="9" t="n">
        <f aca="false">Dummy_Variables!F309</f>
        <v>1</v>
      </c>
    </row>
    <row r="346" customFormat="false" ht="15" hidden="false" customHeight="true" outlineLevel="0" collapsed="false">
      <c r="A346" s="9" t="n">
        <f aca="false">Cleaned_Prepared_Data!M310</f>
        <v>559660.84</v>
      </c>
      <c r="B346" s="9" t="n">
        <f aca="false">Cleaned_Prepared_Data!F310</f>
        <v>5317</v>
      </c>
      <c r="C346" s="9" t="n">
        <f aca="false">Cleaned_Prepared_Data!E310</f>
        <v>40553.11</v>
      </c>
      <c r="D346" s="9" t="n">
        <f aca="false">Cleaned_Prepared_Data!I310</f>
        <v>84.3</v>
      </c>
      <c r="E346" s="9" t="n">
        <f aca="false">Cleaned_Prepared_Data!H310</f>
        <v>17</v>
      </c>
      <c r="F346" s="9" t="n">
        <f aca="false">Cleaned_Prepared_Data!G310</f>
        <v>0.165</v>
      </c>
      <c r="G346" s="9" t="n">
        <f aca="false">Dummy_Variables!D310</f>
        <v>0</v>
      </c>
      <c r="H346" s="9" t="n">
        <f aca="false">Dummy_Variables!E310</f>
        <v>0</v>
      </c>
      <c r="I346" s="9" t="n">
        <f aca="false">Dummy_Variables!F310</f>
        <v>1</v>
      </c>
    </row>
  </sheetData>
  <mergeCells count="3">
    <mergeCell ref="A1:J1"/>
    <mergeCell ref="A2:J2"/>
    <mergeCell ref="A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13" min="10" style="1" width="15"/>
  </cols>
  <sheetData>
    <row r="1" customFormat="false" ht="15.75" hidden="false" customHeight="true" outlineLevel="0" collapsed="false">
      <c r="A1" s="11" t="s">
        <v>151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customFormat="false" ht="27.75" hidden="false" customHeight="true" outlineLevel="0" collapsed="false">
      <c r="A2" s="6" t="s">
        <v>152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customFormat="false" ht="15" hidden="false" customHeight="true" outlineLevel="0" collapsed="false">
      <c r="A4" s="3" t="s">
        <v>1</v>
      </c>
      <c r="B4" s="3" t="s">
        <v>2</v>
      </c>
      <c r="C4" s="3" t="s">
        <v>3</v>
      </c>
      <c r="D4" s="3" t="s">
        <v>4</v>
      </c>
      <c r="E4" s="3" t="s">
        <v>153</v>
      </c>
      <c r="F4" s="3" t="s">
        <v>154</v>
      </c>
      <c r="G4" s="3" t="s">
        <v>155</v>
      </c>
      <c r="J4" s="21" t="s">
        <v>156</v>
      </c>
      <c r="K4" s="21"/>
      <c r="L4" s="21"/>
      <c r="M4" s="21"/>
    </row>
    <row r="5" customFormat="false" ht="15" hidden="false" customHeight="true" outlineLevel="0" collapsed="false">
      <c r="A5" s="9" t="str">
        <f aca="false">Cleaned_Prepared_Data!A5</f>
        <v>STR-1001</v>
      </c>
      <c r="B5" s="10" t="n">
        <f aca="false">Cleaned_Prepared_Data!B5</f>
        <v>45658</v>
      </c>
      <c r="C5" s="9" t="str">
        <f aca="false">Cleaned_Prepared_Data!C5</f>
        <v>East</v>
      </c>
      <c r="D5" s="9" t="str">
        <f aca="false">Cleaned_Prepared_Data!D5</f>
        <v>Residential</v>
      </c>
      <c r="E5" s="9" t="n">
        <f aca="false">Cleaned_Prepared_Data!M5</f>
        <v>658832.62</v>
      </c>
      <c r="F5" s="22" t="n">
        <f aca="false">Multiple_Regression!$B$6+Multiple_Regression!$B$7*Cleaned_Prepared_Data!F5+Multiple_Regression!$B$8*Cleaned_Prepared_Data!E5+Multiple_Regression!$B$9*Cleaned_Prepared_Data!I5+Multiple_Regression!$B$10*Cleaned_Prepared_Data!H5+Multiple_Regression!$B$11*Cleaned_Prepared_Data!G5+Multiple_Regression!$B$12*Dummy_Variables!D5+Multiple_Regression!$B$13*Dummy_Variables!E5+Multiple_Regression!$B$14*Dummy_Variables!F5</f>
        <v>700624.045017946</v>
      </c>
      <c r="G5" s="22" t="n">
        <f aca="false">E5-F5</f>
        <v>-41791.4250179461</v>
      </c>
      <c r="J5" s="3" t="s">
        <v>1</v>
      </c>
      <c r="K5" s="3" t="s">
        <v>4</v>
      </c>
      <c r="L5" s="3" t="s">
        <v>155</v>
      </c>
      <c r="M5" s="3" t="s">
        <v>154</v>
      </c>
    </row>
    <row r="6" customFormat="false" ht="15" hidden="false" customHeight="true" outlineLevel="0" collapsed="false">
      <c r="A6" s="9" t="str">
        <f aca="false">Cleaned_Prepared_Data!A6</f>
        <v>STR-1001</v>
      </c>
      <c r="B6" s="10" t="n">
        <f aca="false">Cleaned_Prepared_Data!B6</f>
        <v>45689</v>
      </c>
      <c r="C6" s="9" t="str">
        <f aca="false">Cleaned_Prepared_Data!C6</f>
        <v>East</v>
      </c>
      <c r="D6" s="9" t="str">
        <f aca="false">Cleaned_Prepared_Data!D6</f>
        <v>Residential</v>
      </c>
      <c r="E6" s="9" t="n">
        <f aca="false">Cleaned_Prepared_Data!M6</f>
        <v>634436</v>
      </c>
      <c r="F6" s="22" t="n">
        <f aca="false">Multiple_Regression!$B$6+Multiple_Regression!$B$7*Cleaned_Prepared_Data!F6+Multiple_Regression!$B$8*Cleaned_Prepared_Data!E6+Multiple_Regression!$B$9*Cleaned_Prepared_Data!I6+Multiple_Regression!$B$10*Cleaned_Prepared_Data!H6+Multiple_Regression!$B$11*Cleaned_Prepared_Data!G6+Multiple_Regression!$B$12*Dummy_Variables!D6+Multiple_Regression!$B$13*Dummy_Variables!E6+Multiple_Regression!$B$14*Dummy_Variables!F6</f>
        <v>711162.926664555</v>
      </c>
      <c r="G6" s="22" t="n">
        <f aca="false">E6-F6</f>
        <v>-76726.926664555</v>
      </c>
      <c r="J6" s="4" t="str">
        <f aca="false">INDEX($A$5:$A$310,MATCH(LARGE($G$5:$G$310,1),$G$5:$G$310,0))</f>
        <v>STR-1030</v>
      </c>
      <c r="K6" s="4" t="str">
        <f aca="false">INDEX($D$5:$D$310,MATCH(LARGE($G$5:$G$310,1),$G$5:$G$310,0))</f>
        <v>Residential</v>
      </c>
      <c r="L6" s="23" t="n">
        <f aca="false">LARGE($G$5:$G$310,1)</f>
        <v>105973.741370075</v>
      </c>
      <c r="M6" s="22" t="n">
        <f aca="false">INDEX($F$5:$F$310,MATCH(LARGE($G$5:$G$310,1),$G$5:$G$310,0))</f>
        <v>714545.298629925</v>
      </c>
    </row>
    <row r="7" customFormat="false" ht="15" hidden="false" customHeight="true" outlineLevel="0" collapsed="false">
      <c r="A7" s="9" t="str">
        <f aca="false">Cleaned_Prepared_Data!A7</f>
        <v>STR-1001</v>
      </c>
      <c r="B7" s="10" t="n">
        <f aca="false">Cleaned_Prepared_Data!B7</f>
        <v>45717</v>
      </c>
      <c r="C7" s="9" t="str">
        <f aca="false">Cleaned_Prepared_Data!C7</f>
        <v>East</v>
      </c>
      <c r="D7" s="9" t="str">
        <f aca="false">Cleaned_Prepared_Data!D7</f>
        <v>Residential</v>
      </c>
      <c r="E7" s="9" t="n">
        <f aca="false">Cleaned_Prepared_Data!M7</f>
        <v>678722.06</v>
      </c>
      <c r="F7" s="22" t="n">
        <f aca="false">Multiple_Regression!$B$6+Multiple_Regression!$B$7*Cleaned_Prepared_Data!F7+Multiple_Regression!$B$8*Cleaned_Prepared_Data!E7+Multiple_Regression!$B$9*Cleaned_Prepared_Data!I7+Multiple_Regression!$B$10*Cleaned_Prepared_Data!H7+Multiple_Regression!$B$11*Cleaned_Prepared_Data!G7+Multiple_Regression!$B$12*Dummy_Variables!D7+Multiple_Regression!$B$13*Dummy_Variables!E7+Multiple_Regression!$B$14*Dummy_Variables!F7</f>
        <v>751907.864322108</v>
      </c>
      <c r="G7" s="22" t="n">
        <f aca="false">E7-F7</f>
        <v>-73185.8043221077</v>
      </c>
      <c r="J7" s="4" t="str">
        <f aca="false">INDEX($A$5:$A$310,MATCH(LARGE($G$5:$G$310,2),$G$5:$G$310,0))</f>
        <v>STR-1028</v>
      </c>
      <c r="K7" s="4" t="str">
        <f aca="false">INDEX($D$5:$D$310,MATCH(LARGE($G$5:$G$310,2),$G$5:$G$310,0))</f>
        <v>Mall</v>
      </c>
      <c r="L7" s="23" t="n">
        <f aca="false">LARGE($G$5:$G$310,2)</f>
        <v>95477.2898824869</v>
      </c>
      <c r="M7" s="22" t="n">
        <f aca="false">INDEX($F$5:$F$310,MATCH(LARGE($G$5:$G$310,2),$G$5:$G$310,0))</f>
        <v>618133.870117513</v>
      </c>
    </row>
    <row r="8" customFormat="false" ht="15" hidden="false" customHeight="true" outlineLevel="0" collapsed="false">
      <c r="A8" s="9" t="str">
        <f aca="false">Cleaned_Prepared_Data!A8</f>
        <v>STR-1001</v>
      </c>
      <c r="B8" s="10" t="n">
        <f aca="false">Cleaned_Prepared_Data!B8</f>
        <v>45748</v>
      </c>
      <c r="C8" s="9" t="str">
        <f aca="false">Cleaned_Prepared_Data!C8</f>
        <v>East</v>
      </c>
      <c r="D8" s="9" t="str">
        <f aca="false">Cleaned_Prepared_Data!D8</f>
        <v>Residential</v>
      </c>
      <c r="E8" s="9" t="n">
        <f aca="false">Cleaned_Prepared_Data!M8</f>
        <v>658920.3</v>
      </c>
      <c r="F8" s="22" t="n">
        <f aca="false">Multiple_Regression!$B$6+Multiple_Regression!$B$7*Cleaned_Prepared_Data!F8+Multiple_Regression!$B$8*Cleaned_Prepared_Data!E8+Multiple_Regression!$B$9*Cleaned_Prepared_Data!I8+Multiple_Regression!$B$10*Cleaned_Prepared_Data!H8+Multiple_Regression!$B$11*Cleaned_Prepared_Data!G8+Multiple_Regression!$B$12*Dummy_Variables!D8+Multiple_Regression!$B$13*Dummy_Variables!E8+Multiple_Regression!$B$14*Dummy_Variables!F8</f>
        <v>761955.04133634</v>
      </c>
      <c r="G8" s="22" t="n">
        <f aca="false">E8-F8</f>
        <v>-103034.74133634</v>
      </c>
      <c r="J8" s="4" t="str">
        <f aca="false">INDEX($A$5:$A$310,MATCH(LARGE($G$5:$G$310,3),$G$5:$G$310,0))</f>
        <v>STR-1032</v>
      </c>
      <c r="K8" s="4" t="str">
        <f aca="false">INDEX($D$5:$D$310,MATCH(LARGE($G$5:$G$310,3),$G$5:$G$310,0))</f>
        <v>High Street</v>
      </c>
      <c r="L8" s="23" t="n">
        <f aca="false">LARGE($G$5:$G$310,3)</f>
        <v>94323.6596949404</v>
      </c>
      <c r="M8" s="22" t="n">
        <f aca="false">INDEX($F$5:$F$310,MATCH(LARGE($G$5:$G$310,3),$G$5:$G$310,0))</f>
        <v>820220.51030506</v>
      </c>
    </row>
    <row r="9" customFormat="false" ht="15" hidden="false" customHeight="true" outlineLevel="0" collapsed="false">
      <c r="A9" s="9" t="str">
        <f aca="false">Cleaned_Prepared_Data!A9</f>
        <v>STR-1002</v>
      </c>
      <c r="B9" s="10" t="n">
        <f aca="false">Cleaned_Prepared_Data!B9</f>
        <v>45658</v>
      </c>
      <c r="C9" s="9" t="str">
        <f aca="false">Cleaned_Prepared_Data!C9</f>
        <v>East</v>
      </c>
      <c r="D9" s="9" t="str">
        <f aca="false">Cleaned_Prepared_Data!D9</f>
        <v>High Street</v>
      </c>
      <c r="E9" s="9" t="n">
        <f aca="false">Cleaned_Prepared_Data!M9</f>
        <v>741341.44</v>
      </c>
      <c r="F9" s="22" t="n">
        <f aca="false">Multiple_Regression!$B$6+Multiple_Regression!$B$7*Cleaned_Prepared_Data!F9+Multiple_Regression!$B$8*Cleaned_Prepared_Data!E9+Multiple_Regression!$B$9*Cleaned_Prepared_Data!I9+Multiple_Regression!$B$10*Cleaned_Prepared_Data!H9+Multiple_Regression!$B$11*Cleaned_Prepared_Data!G9+Multiple_Regression!$B$12*Dummy_Variables!D9+Multiple_Regression!$B$13*Dummy_Variables!E9+Multiple_Regression!$B$14*Dummy_Variables!F9</f>
        <v>790774.918326438</v>
      </c>
      <c r="G9" s="22" t="n">
        <f aca="false">E9-F9</f>
        <v>-49433.4783264385</v>
      </c>
      <c r="J9" s="4" t="str">
        <f aca="false">INDEX($A$5:$A$310,MATCH(LARGE($G$5:$G$310,4),$G$5:$G$310,0))</f>
        <v>STR-1073</v>
      </c>
      <c r="K9" s="4" t="str">
        <f aca="false">INDEX($D$5:$D$310,MATCH(LARGE($G$5:$G$310,4),$G$5:$G$310,0))</f>
        <v>Residential</v>
      </c>
      <c r="L9" s="23" t="n">
        <f aca="false">LARGE($G$5:$G$310,4)</f>
        <v>93670.0556940694</v>
      </c>
      <c r="M9" s="22" t="n">
        <f aca="false">INDEX($F$5:$F$310,MATCH(LARGE($G$5:$G$310,4),$G$5:$G$310,0))</f>
        <v>719646.654305931</v>
      </c>
    </row>
    <row r="10" customFormat="false" ht="15" hidden="false" customHeight="true" outlineLevel="0" collapsed="false">
      <c r="A10" s="9" t="str">
        <f aca="false">Cleaned_Prepared_Data!A10</f>
        <v>STR-1002</v>
      </c>
      <c r="B10" s="10" t="n">
        <f aca="false">Cleaned_Prepared_Data!B10</f>
        <v>45689</v>
      </c>
      <c r="C10" s="9" t="str">
        <f aca="false">Cleaned_Prepared_Data!C10</f>
        <v>East</v>
      </c>
      <c r="D10" s="9" t="str">
        <f aca="false">Cleaned_Prepared_Data!D10</f>
        <v>High Street</v>
      </c>
      <c r="E10" s="9" t="n">
        <f aca="false">Cleaned_Prepared_Data!M10</f>
        <v>761835.34</v>
      </c>
      <c r="F10" s="22" t="n">
        <f aca="false">Multiple_Regression!$B$6+Multiple_Regression!$B$7*Cleaned_Prepared_Data!F10+Multiple_Regression!$B$8*Cleaned_Prepared_Data!E10+Multiple_Regression!$B$9*Cleaned_Prepared_Data!I10+Multiple_Regression!$B$10*Cleaned_Prepared_Data!H10+Multiple_Regression!$B$11*Cleaned_Prepared_Data!G10+Multiple_Regression!$B$12*Dummy_Variables!D10+Multiple_Regression!$B$13*Dummy_Variables!E10+Multiple_Regression!$B$14*Dummy_Variables!F10</f>
        <v>782621.564051745</v>
      </c>
      <c r="G10" s="22" t="n">
        <f aca="false">E10-F10</f>
        <v>-20786.2240517448</v>
      </c>
      <c r="J10" s="4" t="str">
        <f aca="false">INDEX($A$5:$A$310,MATCH(LARGE($G$5:$G$310,5),$G$5:$G$310,0))</f>
        <v>STR-1026</v>
      </c>
      <c r="K10" s="4" t="str">
        <f aca="false">INDEX($D$5:$D$310,MATCH(LARGE($G$5:$G$310,5),$G$5:$G$310,0))</f>
        <v>Mall</v>
      </c>
      <c r="L10" s="23" t="n">
        <f aca="false">LARGE($G$5:$G$310,5)</f>
        <v>92050.9711019351</v>
      </c>
      <c r="M10" s="22" t="n">
        <f aca="false">INDEX($F$5:$F$310,MATCH(LARGE($G$5:$G$310,5),$G$5:$G$310,0))</f>
        <v>533463.068898065</v>
      </c>
    </row>
    <row r="11" customFormat="false" ht="15" hidden="false" customHeight="true" outlineLevel="0" collapsed="false">
      <c r="A11" s="9" t="str">
        <f aca="false">Cleaned_Prepared_Data!A11</f>
        <v>STR-1002</v>
      </c>
      <c r="B11" s="10" t="n">
        <f aca="false">Cleaned_Prepared_Data!B11</f>
        <v>45717</v>
      </c>
      <c r="C11" s="9" t="str">
        <f aca="false">Cleaned_Prepared_Data!C11</f>
        <v>East</v>
      </c>
      <c r="D11" s="9" t="str">
        <f aca="false">Cleaned_Prepared_Data!D11</f>
        <v>High Street</v>
      </c>
      <c r="E11" s="9" t="n">
        <f aca="false">Cleaned_Prepared_Data!M11</f>
        <v>806615.54</v>
      </c>
      <c r="F11" s="22" t="n">
        <f aca="false">Multiple_Regression!$B$6+Multiple_Regression!$B$7*Cleaned_Prepared_Data!F11+Multiple_Regression!$B$8*Cleaned_Prepared_Data!E11+Multiple_Regression!$B$9*Cleaned_Prepared_Data!I11+Multiple_Regression!$B$10*Cleaned_Prepared_Data!H11+Multiple_Regression!$B$11*Cleaned_Prepared_Data!G11+Multiple_Regression!$B$12*Dummy_Variables!D11+Multiple_Regression!$B$13*Dummy_Variables!E11+Multiple_Regression!$B$14*Dummy_Variables!F11</f>
        <v>792627.362478269</v>
      </c>
      <c r="G11" s="22" t="n">
        <f aca="false">E11-F11</f>
        <v>13988.1775217309</v>
      </c>
    </row>
    <row r="12" customFormat="false" ht="15" hidden="false" customHeight="true" outlineLevel="0" collapsed="false">
      <c r="A12" s="9" t="str">
        <f aca="false">Cleaned_Prepared_Data!A12</f>
        <v>STR-1002</v>
      </c>
      <c r="B12" s="10" t="n">
        <f aca="false">Cleaned_Prepared_Data!B12</f>
        <v>45748</v>
      </c>
      <c r="C12" s="9" t="str">
        <f aca="false">Cleaned_Prepared_Data!C12</f>
        <v>East</v>
      </c>
      <c r="D12" s="9" t="str">
        <f aca="false">Cleaned_Prepared_Data!D12</f>
        <v>High Street</v>
      </c>
      <c r="E12" s="9" t="n">
        <f aca="false">Cleaned_Prepared_Data!M12</f>
        <v>850164.26</v>
      </c>
      <c r="F12" s="22" t="n">
        <f aca="false">Multiple_Regression!$B$6+Multiple_Regression!$B$7*Cleaned_Prepared_Data!F12+Multiple_Regression!$B$8*Cleaned_Prepared_Data!E12+Multiple_Regression!$B$9*Cleaned_Prepared_Data!I12+Multiple_Regression!$B$10*Cleaned_Prepared_Data!H12+Multiple_Regression!$B$11*Cleaned_Prepared_Data!G12+Multiple_Regression!$B$12*Dummy_Variables!D12+Multiple_Regression!$B$13*Dummy_Variables!E12+Multiple_Regression!$B$14*Dummy_Variables!F12</f>
        <v>790977.629316121</v>
      </c>
      <c r="G12" s="22" t="n">
        <f aca="false">E12-F12</f>
        <v>59186.6306838795</v>
      </c>
      <c r="J12" s="21" t="s">
        <v>157</v>
      </c>
      <c r="K12" s="21"/>
      <c r="L12" s="21"/>
      <c r="M12" s="21"/>
    </row>
    <row r="13" customFormat="false" ht="15" hidden="false" customHeight="true" outlineLevel="0" collapsed="false">
      <c r="A13" s="9" t="str">
        <f aca="false">Cleaned_Prepared_Data!A13</f>
        <v>STR-1003</v>
      </c>
      <c r="B13" s="10" t="n">
        <f aca="false">Cleaned_Prepared_Data!B13</f>
        <v>45658</v>
      </c>
      <c r="C13" s="9" t="str">
        <f aca="false">Cleaned_Prepared_Data!C13</f>
        <v>North</v>
      </c>
      <c r="D13" s="9" t="str">
        <f aca="false">Cleaned_Prepared_Data!D13</f>
        <v>Airport</v>
      </c>
      <c r="E13" s="9" t="n">
        <f aca="false">Cleaned_Prepared_Data!M13</f>
        <v>930581.7</v>
      </c>
      <c r="F13" s="22" t="n">
        <f aca="false">Multiple_Regression!$B$6+Multiple_Regression!$B$7*Cleaned_Prepared_Data!F13+Multiple_Regression!$B$8*Cleaned_Prepared_Data!E13+Multiple_Regression!$B$9*Cleaned_Prepared_Data!I13+Multiple_Regression!$B$10*Cleaned_Prepared_Data!H13+Multiple_Regression!$B$11*Cleaned_Prepared_Data!G13+Multiple_Regression!$B$12*Dummy_Variables!D13+Multiple_Regression!$B$13*Dummy_Variables!E13+Multiple_Regression!$B$14*Dummy_Variables!F13</f>
        <v>869014.269004095</v>
      </c>
      <c r="G13" s="22" t="n">
        <f aca="false">E13-F13</f>
        <v>61567.4309959054</v>
      </c>
      <c r="J13" s="3" t="s">
        <v>1</v>
      </c>
      <c r="K13" s="3" t="s">
        <v>4</v>
      </c>
      <c r="L13" s="3" t="s">
        <v>155</v>
      </c>
      <c r="M13" s="3" t="s">
        <v>154</v>
      </c>
    </row>
    <row r="14" customFormat="false" ht="15" hidden="false" customHeight="true" outlineLevel="0" collapsed="false">
      <c r="A14" s="9" t="str">
        <f aca="false">Cleaned_Prepared_Data!A14</f>
        <v>STR-1003</v>
      </c>
      <c r="B14" s="10" t="n">
        <f aca="false">Cleaned_Prepared_Data!B14</f>
        <v>45689</v>
      </c>
      <c r="C14" s="9" t="str">
        <f aca="false">Cleaned_Prepared_Data!C14</f>
        <v>North</v>
      </c>
      <c r="D14" s="9" t="str">
        <f aca="false">Cleaned_Prepared_Data!D14</f>
        <v>Airport</v>
      </c>
      <c r="E14" s="9" t="n">
        <f aca="false">Cleaned_Prepared_Data!M14</f>
        <v>779010.94</v>
      </c>
      <c r="F14" s="22" t="n">
        <f aca="false">Multiple_Regression!$B$6+Multiple_Regression!$B$7*Cleaned_Prepared_Data!F14+Multiple_Regression!$B$8*Cleaned_Prepared_Data!E14+Multiple_Regression!$B$9*Cleaned_Prepared_Data!I14+Multiple_Regression!$B$10*Cleaned_Prepared_Data!H14+Multiple_Regression!$B$11*Cleaned_Prepared_Data!G14+Multiple_Regression!$B$12*Dummy_Variables!D14+Multiple_Regression!$B$13*Dummy_Variables!E14+Multiple_Regression!$B$14*Dummy_Variables!F14</f>
        <v>796963.656476546</v>
      </c>
      <c r="G14" s="22" t="n">
        <f aca="false">E14-F14</f>
        <v>-17952.7164765458</v>
      </c>
      <c r="J14" s="4" t="str">
        <f aca="false">INDEX($A$5:$A$310,MATCH(SMALL($G$5:$G$310,1),$G$5:$G$310,0))</f>
        <v>STR-1017</v>
      </c>
      <c r="K14" s="4" t="str">
        <f aca="false">INDEX($D$5:$D$310,MATCH(SMALL($G$5:$G$310,1),$G$5:$G$310,0))</f>
        <v>High Street</v>
      </c>
      <c r="L14" s="24" t="n">
        <f aca="false">SMALL($G$5:$G$310,1)</f>
        <v>-152088.738280657</v>
      </c>
      <c r="M14" s="22" t="n">
        <f aca="false">INDEX($F$5:$F$310,MATCH(SMALL($G$5:$G$310,1),$G$5:$G$310,0))</f>
        <v>837467.818280657</v>
      </c>
    </row>
    <row r="15" customFormat="false" ht="15" hidden="false" customHeight="true" outlineLevel="0" collapsed="false">
      <c r="A15" s="9" t="str">
        <f aca="false">Cleaned_Prepared_Data!A15</f>
        <v>STR-1003</v>
      </c>
      <c r="B15" s="10" t="n">
        <f aca="false">Cleaned_Prepared_Data!B15</f>
        <v>45717</v>
      </c>
      <c r="C15" s="9" t="str">
        <f aca="false">Cleaned_Prepared_Data!C15</f>
        <v>North</v>
      </c>
      <c r="D15" s="9" t="str">
        <f aca="false">Cleaned_Prepared_Data!D15</f>
        <v>Airport</v>
      </c>
      <c r="E15" s="9" t="n">
        <f aca="false">Cleaned_Prepared_Data!M15</f>
        <v>723060.76</v>
      </c>
      <c r="F15" s="22" t="n">
        <f aca="false">Multiple_Regression!$B$6+Multiple_Regression!$B$7*Cleaned_Prepared_Data!F15+Multiple_Regression!$B$8*Cleaned_Prepared_Data!E15+Multiple_Regression!$B$9*Cleaned_Prepared_Data!I15+Multiple_Regression!$B$10*Cleaned_Prepared_Data!H15+Multiple_Regression!$B$11*Cleaned_Prepared_Data!G15+Multiple_Regression!$B$12*Dummy_Variables!D15+Multiple_Regression!$B$13*Dummy_Variables!E15+Multiple_Regression!$B$14*Dummy_Variables!F15</f>
        <v>762315.177244682</v>
      </c>
      <c r="G15" s="22" t="n">
        <f aca="false">E15-F15</f>
        <v>-39254.417244682</v>
      </c>
      <c r="J15" s="4" t="str">
        <f aca="false">INDEX($A$5:$A$310,MATCH(SMALL($G$5:$G$310,2),$G$5:$G$310,0))</f>
        <v>STR-1012</v>
      </c>
      <c r="K15" s="4" t="str">
        <f aca="false">INDEX($D$5:$D$310,MATCH(SMALL($G$5:$G$310,2),$G$5:$G$310,0))</f>
        <v>Residential</v>
      </c>
      <c r="L15" s="24" t="n">
        <f aca="false">SMALL($G$5:$G$310,2)</f>
        <v>-129660.455973367</v>
      </c>
      <c r="M15" s="22" t="n">
        <f aca="false">INDEX($F$5:$F$310,MATCH(SMALL($G$5:$G$310,2),$G$5:$G$310,0))</f>
        <v>725128.055973367</v>
      </c>
    </row>
    <row r="16" customFormat="false" ht="15" hidden="false" customHeight="true" outlineLevel="0" collapsed="false">
      <c r="A16" s="9" t="str">
        <f aca="false">Cleaned_Prepared_Data!A16</f>
        <v>STR-1003</v>
      </c>
      <c r="B16" s="10" t="n">
        <f aca="false">Cleaned_Prepared_Data!B16</f>
        <v>45748</v>
      </c>
      <c r="C16" s="9" t="str">
        <f aca="false">Cleaned_Prepared_Data!C16</f>
        <v>North</v>
      </c>
      <c r="D16" s="9" t="str">
        <f aca="false">Cleaned_Prepared_Data!D16</f>
        <v>Airport</v>
      </c>
      <c r="E16" s="9" t="n">
        <f aca="false">Cleaned_Prepared_Data!M16</f>
        <v>910791.94</v>
      </c>
      <c r="F16" s="22" t="n">
        <f aca="false">Multiple_Regression!$B$6+Multiple_Regression!$B$7*Cleaned_Prepared_Data!F16+Multiple_Regression!$B$8*Cleaned_Prepared_Data!E16+Multiple_Regression!$B$9*Cleaned_Prepared_Data!I16+Multiple_Regression!$B$10*Cleaned_Prepared_Data!H16+Multiple_Regression!$B$11*Cleaned_Prepared_Data!G16+Multiple_Regression!$B$12*Dummy_Variables!D16+Multiple_Regression!$B$13*Dummy_Variables!E16+Multiple_Regression!$B$14*Dummy_Variables!F16</f>
        <v>880040.171072256</v>
      </c>
      <c r="G16" s="22" t="n">
        <f aca="false">E16-F16</f>
        <v>30751.7689277437</v>
      </c>
      <c r="J16" s="4" t="str">
        <f aca="false">INDEX($A$5:$A$310,MATCH(SMALL($G$5:$G$310,3),$G$5:$G$310,0))</f>
        <v>STR-1023</v>
      </c>
      <c r="K16" s="4" t="str">
        <f aca="false">INDEX($D$5:$D$310,MATCH(SMALL($G$5:$G$310,3),$G$5:$G$310,0))</f>
        <v>Mall</v>
      </c>
      <c r="L16" s="24" t="n">
        <f aca="false">SMALL($G$5:$G$310,3)</f>
        <v>-120619.211960078</v>
      </c>
      <c r="M16" s="22" t="n">
        <f aca="false">INDEX($F$5:$F$310,MATCH(SMALL($G$5:$G$310,3),$G$5:$G$310,0))</f>
        <v>747791.111960078</v>
      </c>
    </row>
    <row r="17" customFormat="false" ht="15" hidden="false" customHeight="true" outlineLevel="0" collapsed="false">
      <c r="A17" s="9" t="str">
        <f aca="false">Cleaned_Prepared_Data!A17</f>
        <v>STR-1004</v>
      </c>
      <c r="B17" s="10" t="n">
        <f aca="false">Cleaned_Prepared_Data!B17</f>
        <v>45658</v>
      </c>
      <c r="C17" s="9" t="str">
        <f aca="false">Cleaned_Prepared_Data!C17</f>
        <v>East</v>
      </c>
      <c r="D17" s="9" t="str">
        <f aca="false">Cleaned_Prepared_Data!D17</f>
        <v>Residential</v>
      </c>
      <c r="E17" s="9" t="n">
        <f aca="false">Cleaned_Prepared_Data!M17</f>
        <v>922168.6</v>
      </c>
      <c r="F17" s="22" t="n">
        <f aca="false">Multiple_Regression!$B$6+Multiple_Regression!$B$7*Cleaned_Prepared_Data!F17+Multiple_Regression!$B$8*Cleaned_Prepared_Data!E17+Multiple_Regression!$B$9*Cleaned_Prepared_Data!I17+Multiple_Regression!$B$10*Cleaned_Prepared_Data!H17+Multiple_Regression!$B$11*Cleaned_Prepared_Data!G17+Multiple_Regression!$B$12*Dummy_Variables!D17+Multiple_Regression!$B$13*Dummy_Variables!E17+Multiple_Regression!$B$14*Dummy_Variables!F17</f>
        <v>880917.599577205</v>
      </c>
      <c r="G17" s="22" t="n">
        <f aca="false">E17-F17</f>
        <v>41251.0004227952</v>
      </c>
      <c r="J17" s="4" t="str">
        <f aca="false">INDEX($A$5:$A$310,MATCH(SMALL($G$5:$G$310,4),$G$5:$G$310,0))</f>
        <v>STR-1001</v>
      </c>
      <c r="K17" s="4" t="str">
        <f aca="false">INDEX($D$5:$D$310,MATCH(SMALL($G$5:$G$310,4),$G$5:$G$310,0))</f>
        <v>Residential</v>
      </c>
      <c r="L17" s="24" t="n">
        <f aca="false">SMALL($G$5:$G$310,4)</f>
        <v>-103034.74133634</v>
      </c>
      <c r="M17" s="22" t="n">
        <f aca="false">INDEX($F$5:$F$310,MATCH(SMALL($G$5:$G$310,4),$G$5:$G$310,0))</f>
        <v>761955.04133634</v>
      </c>
    </row>
    <row r="18" customFormat="false" ht="15" hidden="false" customHeight="true" outlineLevel="0" collapsed="false">
      <c r="A18" s="9" t="str">
        <f aca="false">Cleaned_Prepared_Data!A18</f>
        <v>STR-1004</v>
      </c>
      <c r="B18" s="10" t="n">
        <f aca="false">Cleaned_Prepared_Data!B18</f>
        <v>45689</v>
      </c>
      <c r="C18" s="9" t="str">
        <f aca="false">Cleaned_Prepared_Data!C18</f>
        <v>East</v>
      </c>
      <c r="D18" s="9" t="str">
        <f aca="false">Cleaned_Prepared_Data!D18</f>
        <v>Residential</v>
      </c>
      <c r="E18" s="9" t="n">
        <f aca="false">Cleaned_Prepared_Data!M18</f>
        <v>726606.28</v>
      </c>
      <c r="F18" s="22" t="n">
        <f aca="false">Multiple_Regression!$B$6+Multiple_Regression!$B$7*Cleaned_Prepared_Data!F18+Multiple_Regression!$B$8*Cleaned_Prepared_Data!E18+Multiple_Regression!$B$9*Cleaned_Prepared_Data!I18+Multiple_Regression!$B$10*Cleaned_Prepared_Data!H18+Multiple_Regression!$B$11*Cleaned_Prepared_Data!G18+Multiple_Regression!$B$12*Dummy_Variables!D18+Multiple_Regression!$B$13*Dummy_Variables!E18+Multiple_Regression!$B$14*Dummy_Variables!F18</f>
        <v>775326.614517445</v>
      </c>
      <c r="G18" s="22" t="n">
        <f aca="false">E18-F18</f>
        <v>-48720.3345174454</v>
      </c>
      <c r="J18" s="4" t="str">
        <f aca="false">INDEX($A$5:$A$310,MATCH(SMALL($G$5:$G$310,5),$G$5:$G$310,0))</f>
        <v>STR-1007</v>
      </c>
      <c r="K18" s="4" t="str">
        <f aca="false">INDEX($D$5:$D$310,MATCH(SMALL($G$5:$G$310,5),$G$5:$G$310,0))</f>
        <v>Mall</v>
      </c>
      <c r="L18" s="24" t="n">
        <f aca="false">SMALL($G$5:$G$310,5)</f>
        <v>-101680.257677189</v>
      </c>
      <c r="M18" s="22" t="n">
        <f aca="false">INDEX($F$5:$F$310,MATCH(SMALL($G$5:$G$310,5),$G$5:$G$310,0))</f>
        <v>902132.197677189</v>
      </c>
    </row>
    <row r="19" customFormat="false" ht="15" hidden="false" customHeight="true" outlineLevel="0" collapsed="false">
      <c r="A19" s="9" t="str">
        <f aca="false">Cleaned_Prepared_Data!A19</f>
        <v>STR-1004</v>
      </c>
      <c r="B19" s="10" t="n">
        <f aca="false">Cleaned_Prepared_Data!B19</f>
        <v>45717</v>
      </c>
      <c r="C19" s="9" t="str">
        <f aca="false">Cleaned_Prepared_Data!C19</f>
        <v>East</v>
      </c>
      <c r="D19" s="9" t="str">
        <f aca="false">Cleaned_Prepared_Data!D19</f>
        <v>Residential</v>
      </c>
      <c r="E19" s="9" t="n">
        <f aca="false">Cleaned_Prepared_Data!M19</f>
        <v>746501.09</v>
      </c>
      <c r="F19" s="22" t="n">
        <f aca="false">Multiple_Regression!$B$6+Multiple_Regression!$B$7*Cleaned_Prepared_Data!F19+Multiple_Regression!$B$8*Cleaned_Prepared_Data!E19+Multiple_Regression!$B$9*Cleaned_Prepared_Data!I19+Multiple_Regression!$B$10*Cleaned_Prepared_Data!H19+Multiple_Regression!$B$11*Cleaned_Prepared_Data!G19+Multiple_Regression!$B$12*Dummy_Variables!D19+Multiple_Regression!$B$13*Dummy_Variables!E19+Multiple_Regression!$B$14*Dummy_Variables!F19</f>
        <v>750505.797571211</v>
      </c>
      <c r="G19" s="22" t="n">
        <f aca="false">E19-F19</f>
        <v>-4004.70757121081</v>
      </c>
    </row>
    <row r="20" customFormat="false" ht="15" hidden="false" customHeight="true" outlineLevel="0" collapsed="false">
      <c r="A20" s="9" t="str">
        <f aca="false">Cleaned_Prepared_Data!A20</f>
        <v>STR-1004</v>
      </c>
      <c r="B20" s="10" t="n">
        <f aca="false">Cleaned_Prepared_Data!B20</f>
        <v>45748</v>
      </c>
      <c r="C20" s="9" t="str">
        <f aca="false">Cleaned_Prepared_Data!C20</f>
        <v>East</v>
      </c>
      <c r="D20" s="9" t="str">
        <f aca="false">Cleaned_Prepared_Data!D20</f>
        <v>Residential</v>
      </c>
      <c r="E20" s="9" t="n">
        <f aca="false">Cleaned_Prepared_Data!M20</f>
        <v>834017.02</v>
      </c>
      <c r="F20" s="22" t="n">
        <f aca="false">Multiple_Regression!$B$6+Multiple_Regression!$B$7*Cleaned_Prepared_Data!F20+Multiple_Regression!$B$8*Cleaned_Prepared_Data!E20+Multiple_Regression!$B$9*Cleaned_Prepared_Data!I20+Multiple_Regression!$B$10*Cleaned_Prepared_Data!H20+Multiple_Regression!$B$11*Cleaned_Prepared_Data!G20+Multiple_Regression!$B$12*Dummy_Variables!D20+Multiple_Regression!$B$13*Dummy_Variables!E20+Multiple_Regression!$B$14*Dummy_Variables!F20</f>
        <v>812808.053602987</v>
      </c>
      <c r="G20" s="22" t="n">
        <f aca="false">E20-F20</f>
        <v>21208.9663970126</v>
      </c>
      <c r="J20" s="7" t="s">
        <v>158</v>
      </c>
    </row>
    <row r="21" customFormat="false" ht="15" hidden="false" customHeight="true" outlineLevel="0" collapsed="false">
      <c r="A21" s="9" t="str">
        <f aca="false">Cleaned_Prepared_Data!A21</f>
        <v>STR-1005</v>
      </c>
      <c r="B21" s="10" t="n">
        <f aca="false">Cleaned_Prepared_Data!B21</f>
        <v>45658</v>
      </c>
      <c r="C21" s="9" t="str">
        <f aca="false">Cleaned_Prepared_Data!C21</f>
        <v>South</v>
      </c>
      <c r="D21" s="9" t="str">
        <f aca="false">Cleaned_Prepared_Data!D21</f>
        <v>Residential</v>
      </c>
      <c r="E21" s="9" t="n">
        <f aca="false">Cleaned_Prepared_Data!M21</f>
        <v>666152.52</v>
      </c>
      <c r="F21" s="22" t="n">
        <f aca="false">Multiple_Regression!$B$6+Multiple_Regression!$B$7*Cleaned_Prepared_Data!F21+Multiple_Regression!$B$8*Cleaned_Prepared_Data!E21+Multiple_Regression!$B$9*Cleaned_Prepared_Data!I21+Multiple_Regression!$B$10*Cleaned_Prepared_Data!H21+Multiple_Regression!$B$11*Cleaned_Prepared_Data!G21+Multiple_Regression!$B$12*Dummy_Variables!D21+Multiple_Regression!$B$13*Dummy_Variables!E21+Multiple_Regression!$B$14*Dummy_Variables!F21</f>
        <v>673002.270575156</v>
      </c>
      <c r="G21" s="22" t="n">
        <f aca="false">E21-F21</f>
        <v>-6849.75057515642</v>
      </c>
      <c r="J21" s="4" t="s">
        <v>159</v>
      </c>
      <c r="K21" s="25" t="n">
        <f aca="false">AVERAGE(G5:G310)</f>
        <v>-2.62505137452892E-011</v>
      </c>
    </row>
    <row r="22" customFormat="false" ht="15" hidden="false" customHeight="true" outlineLevel="0" collapsed="false">
      <c r="A22" s="9" t="str">
        <f aca="false">Cleaned_Prepared_Data!A22</f>
        <v>STR-1005</v>
      </c>
      <c r="B22" s="10" t="n">
        <f aca="false">Cleaned_Prepared_Data!B22</f>
        <v>45689</v>
      </c>
      <c r="C22" s="9" t="str">
        <f aca="false">Cleaned_Prepared_Data!C22</f>
        <v>South</v>
      </c>
      <c r="D22" s="9" t="str">
        <f aca="false">Cleaned_Prepared_Data!D22</f>
        <v>Residential</v>
      </c>
      <c r="E22" s="9" t="n">
        <f aca="false">Cleaned_Prepared_Data!M22</f>
        <v>573155.19</v>
      </c>
      <c r="F22" s="22" t="n">
        <f aca="false">Multiple_Regression!$B$6+Multiple_Regression!$B$7*Cleaned_Prepared_Data!F22+Multiple_Regression!$B$8*Cleaned_Prepared_Data!E22+Multiple_Regression!$B$9*Cleaned_Prepared_Data!I22+Multiple_Regression!$B$10*Cleaned_Prepared_Data!H22+Multiple_Regression!$B$11*Cleaned_Prepared_Data!G22+Multiple_Regression!$B$12*Dummy_Variables!D22+Multiple_Regression!$B$13*Dummy_Variables!E22+Multiple_Regression!$B$14*Dummy_Variables!F22</f>
        <v>581417.425443625</v>
      </c>
      <c r="G22" s="22" t="n">
        <f aca="false">E22-F22</f>
        <v>-8262.2354436249</v>
      </c>
      <c r="J22" s="4" t="s">
        <v>160</v>
      </c>
      <c r="K22" s="26" t="n">
        <f aca="false">STDEV(G5:G310)</f>
        <v>43847.3092798255</v>
      </c>
    </row>
    <row r="23" customFormat="false" ht="15" hidden="false" customHeight="true" outlineLevel="0" collapsed="false">
      <c r="A23" s="9" t="str">
        <f aca="false">Cleaned_Prepared_Data!A23</f>
        <v>STR-1005</v>
      </c>
      <c r="B23" s="10" t="n">
        <f aca="false">Cleaned_Prepared_Data!B23</f>
        <v>45717</v>
      </c>
      <c r="C23" s="9" t="str">
        <f aca="false">Cleaned_Prepared_Data!C23</f>
        <v>South</v>
      </c>
      <c r="D23" s="9" t="str">
        <f aca="false">Cleaned_Prepared_Data!D23</f>
        <v>Residential</v>
      </c>
      <c r="E23" s="9" t="n">
        <f aca="false">Cleaned_Prepared_Data!M23</f>
        <v>666573.2</v>
      </c>
      <c r="F23" s="22" t="n">
        <f aca="false">Multiple_Regression!$B$6+Multiple_Regression!$B$7*Cleaned_Prepared_Data!F23+Multiple_Regression!$B$8*Cleaned_Prepared_Data!E23+Multiple_Regression!$B$9*Cleaned_Prepared_Data!I23+Multiple_Regression!$B$10*Cleaned_Prepared_Data!H23+Multiple_Regression!$B$11*Cleaned_Prepared_Data!G23+Multiple_Regression!$B$12*Dummy_Variables!D23+Multiple_Regression!$B$13*Dummy_Variables!E23+Multiple_Regression!$B$14*Dummy_Variables!F23</f>
        <v>682367.269084786</v>
      </c>
      <c r="G23" s="22" t="n">
        <f aca="false">E23-F23</f>
        <v>-15794.0690847858</v>
      </c>
      <c r="J23" s="4" t="s">
        <v>161</v>
      </c>
      <c r="K23" s="26" t="n">
        <f aca="false">MAX(G5:G310)</f>
        <v>105973.741370075</v>
      </c>
    </row>
    <row r="24" customFormat="false" ht="15" hidden="false" customHeight="true" outlineLevel="0" collapsed="false">
      <c r="A24" s="9" t="str">
        <f aca="false">Cleaned_Prepared_Data!A24</f>
        <v>STR-1005</v>
      </c>
      <c r="B24" s="10" t="n">
        <f aca="false">Cleaned_Prepared_Data!B24</f>
        <v>45748</v>
      </c>
      <c r="C24" s="9" t="str">
        <f aca="false">Cleaned_Prepared_Data!C24</f>
        <v>South</v>
      </c>
      <c r="D24" s="9" t="str">
        <f aca="false">Cleaned_Prepared_Data!D24</f>
        <v>Residential</v>
      </c>
      <c r="E24" s="9" t="n">
        <f aca="false">Cleaned_Prepared_Data!M24</f>
        <v>591619.95</v>
      </c>
      <c r="F24" s="22" t="n">
        <f aca="false">Multiple_Regression!$B$6+Multiple_Regression!$B$7*Cleaned_Prepared_Data!F24+Multiple_Regression!$B$8*Cleaned_Prepared_Data!E24+Multiple_Regression!$B$9*Cleaned_Prepared_Data!I24+Multiple_Regression!$B$10*Cleaned_Prepared_Data!H24+Multiple_Regression!$B$11*Cleaned_Prepared_Data!G24+Multiple_Regression!$B$12*Dummy_Variables!D24+Multiple_Regression!$B$13*Dummy_Variables!E24+Multiple_Regression!$B$14*Dummy_Variables!F24</f>
        <v>597027.508759922</v>
      </c>
      <c r="G24" s="22" t="n">
        <f aca="false">E24-F24</f>
        <v>-5407.55875992158</v>
      </c>
      <c r="J24" s="4" t="s">
        <v>162</v>
      </c>
      <c r="K24" s="26" t="n">
        <f aca="false">MIN(G5:G310)</f>
        <v>-152088.738280657</v>
      </c>
    </row>
    <row r="25" customFormat="false" ht="15" hidden="false" customHeight="true" outlineLevel="0" collapsed="false">
      <c r="A25" s="9" t="str">
        <f aca="false">Cleaned_Prepared_Data!A25</f>
        <v>STR-1006</v>
      </c>
      <c r="B25" s="10" t="n">
        <f aca="false">Cleaned_Prepared_Data!B25</f>
        <v>45658</v>
      </c>
      <c r="C25" s="9" t="str">
        <f aca="false">Cleaned_Prepared_Data!C25</f>
        <v>North</v>
      </c>
      <c r="D25" s="9" t="str">
        <f aca="false">Cleaned_Prepared_Data!D25</f>
        <v>Residential</v>
      </c>
      <c r="E25" s="9" t="n">
        <f aca="false">Cleaned_Prepared_Data!M25</f>
        <v>415721.82</v>
      </c>
      <c r="F25" s="22" t="n">
        <f aca="false">Multiple_Regression!$B$6+Multiple_Regression!$B$7*Cleaned_Prepared_Data!F25+Multiple_Regression!$B$8*Cleaned_Prepared_Data!E25+Multiple_Regression!$B$9*Cleaned_Prepared_Data!I25+Multiple_Regression!$B$10*Cleaned_Prepared_Data!H25+Multiple_Regression!$B$11*Cleaned_Prepared_Data!G25+Multiple_Regression!$B$12*Dummy_Variables!D25+Multiple_Regression!$B$13*Dummy_Variables!E25+Multiple_Regression!$B$14*Dummy_Variables!F25</f>
        <v>492417.99147653</v>
      </c>
      <c r="G25" s="22" t="n">
        <f aca="false">E25-F25</f>
        <v>-76696.1714765298</v>
      </c>
    </row>
    <row r="26" customFormat="false" ht="15" hidden="false" customHeight="true" outlineLevel="0" collapsed="false">
      <c r="A26" s="9" t="str">
        <f aca="false">Cleaned_Prepared_Data!A26</f>
        <v>STR-1006</v>
      </c>
      <c r="B26" s="10" t="n">
        <f aca="false">Cleaned_Prepared_Data!B26</f>
        <v>45689</v>
      </c>
      <c r="C26" s="9" t="str">
        <f aca="false">Cleaned_Prepared_Data!C26</f>
        <v>North</v>
      </c>
      <c r="D26" s="9" t="str">
        <f aca="false">Cleaned_Prepared_Data!D26</f>
        <v>Residential</v>
      </c>
      <c r="E26" s="9" t="n">
        <f aca="false">Cleaned_Prepared_Data!M26</f>
        <v>491905.13</v>
      </c>
      <c r="F26" s="22" t="n">
        <f aca="false">Multiple_Regression!$B$6+Multiple_Regression!$B$7*Cleaned_Prepared_Data!F26+Multiple_Regression!$B$8*Cleaned_Prepared_Data!E26+Multiple_Regression!$B$9*Cleaned_Prepared_Data!I26+Multiple_Regression!$B$10*Cleaned_Prepared_Data!H26+Multiple_Regression!$B$11*Cleaned_Prepared_Data!G26+Multiple_Regression!$B$12*Dummy_Variables!D26+Multiple_Regression!$B$13*Dummy_Variables!E26+Multiple_Regression!$B$14*Dummy_Variables!F26</f>
        <v>486923.214764341</v>
      </c>
      <c r="G26" s="22" t="n">
        <f aca="false">E26-F26</f>
        <v>4981.91523565876</v>
      </c>
    </row>
    <row r="27" customFormat="false" ht="15" hidden="false" customHeight="true" outlineLevel="0" collapsed="false">
      <c r="A27" s="9" t="str">
        <f aca="false">Cleaned_Prepared_Data!A27</f>
        <v>STR-1006</v>
      </c>
      <c r="B27" s="10" t="n">
        <f aca="false">Cleaned_Prepared_Data!B27</f>
        <v>45717</v>
      </c>
      <c r="C27" s="9" t="str">
        <f aca="false">Cleaned_Prepared_Data!C27</f>
        <v>North</v>
      </c>
      <c r="D27" s="9" t="str">
        <f aca="false">Cleaned_Prepared_Data!D27</f>
        <v>Residential</v>
      </c>
      <c r="E27" s="9" t="n">
        <f aca="false">Cleaned_Prepared_Data!M27</f>
        <v>555929.4</v>
      </c>
      <c r="F27" s="22" t="n">
        <f aca="false">Multiple_Regression!$B$6+Multiple_Regression!$B$7*Cleaned_Prepared_Data!F27+Multiple_Regression!$B$8*Cleaned_Prepared_Data!E27+Multiple_Regression!$B$9*Cleaned_Prepared_Data!I27+Multiple_Regression!$B$10*Cleaned_Prepared_Data!H27+Multiple_Regression!$B$11*Cleaned_Prepared_Data!G27+Multiple_Regression!$B$12*Dummy_Variables!D27+Multiple_Regression!$B$13*Dummy_Variables!E27+Multiple_Regression!$B$14*Dummy_Variables!F27</f>
        <v>528577.316414914</v>
      </c>
      <c r="G27" s="22" t="n">
        <f aca="false">E27-F27</f>
        <v>27352.0835850863</v>
      </c>
    </row>
    <row r="28" customFormat="false" ht="15" hidden="false" customHeight="true" outlineLevel="0" collapsed="false">
      <c r="A28" s="9" t="str">
        <f aca="false">Cleaned_Prepared_Data!A28</f>
        <v>STR-1006</v>
      </c>
      <c r="B28" s="10" t="n">
        <f aca="false">Cleaned_Prepared_Data!B28</f>
        <v>45748</v>
      </c>
      <c r="C28" s="9" t="str">
        <f aca="false">Cleaned_Prepared_Data!C28</f>
        <v>North</v>
      </c>
      <c r="D28" s="9" t="str">
        <f aca="false">Cleaned_Prepared_Data!D28</f>
        <v>Residential</v>
      </c>
      <c r="E28" s="9" t="n">
        <f aca="false">Cleaned_Prepared_Data!M28</f>
        <v>565810.99</v>
      </c>
      <c r="F28" s="22" t="n">
        <f aca="false">Multiple_Regression!$B$6+Multiple_Regression!$B$7*Cleaned_Prepared_Data!F28+Multiple_Regression!$B$8*Cleaned_Prepared_Data!E28+Multiple_Regression!$B$9*Cleaned_Prepared_Data!I28+Multiple_Regression!$B$10*Cleaned_Prepared_Data!H28+Multiple_Regression!$B$11*Cleaned_Prepared_Data!G28+Multiple_Regression!$B$12*Dummy_Variables!D28+Multiple_Regression!$B$13*Dummy_Variables!E28+Multiple_Regression!$B$14*Dummy_Variables!F28</f>
        <v>552646.23418932</v>
      </c>
      <c r="G28" s="22" t="n">
        <f aca="false">E28-F28</f>
        <v>13164.7558106805</v>
      </c>
    </row>
    <row r="29" customFormat="false" ht="15" hidden="false" customHeight="true" outlineLevel="0" collapsed="false">
      <c r="A29" s="9" t="str">
        <f aca="false">Cleaned_Prepared_Data!A29</f>
        <v>STR-1007</v>
      </c>
      <c r="B29" s="10" t="n">
        <f aca="false">Cleaned_Prepared_Data!B29</f>
        <v>45658</v>
      </c>
      <c r="C29" s="9" t="str">
        <f aca="false">Cleaned_Prepared_Data!C29</f>
        <v>West</v>
      </c>
      <c r="D29" s="9" t="str">
        <f aca="false">Cleaned_Prepared_Data!D29</f>
        <v>Mall</v>
      </c>
      <c r="E29" s="9" t="n">
        <f aca="false">Cleaned_Prepared_Data!M29</f>
        <v>811771.14</v>
      </c>
      <c r="F29" s="22" t="n">
        <f aca="false">Multiple_Regression!$B$6+Multiple_Regression!$B$7*Cleaned_Prepared_Data!F29+Multiple_Regression!$B$8*Cleaned_Prepared_Data!E29+Multiple_Regression!$B$9*Cleaned_Prepared_Data!I29+Multiple_Regression!$B$10*Cleaned_Prepared_Data!H29+Multiple_Regression!$B$11*Cleaned_Prepared_Data!G29+Multiple_Regression!$B$12*Dummy_Variables!D29+Multiple_Regression!$B$13*Dummy_Variables!E29+Multiple_Regression!$B$14*Dummy_Variables!F29</f>
        <v>841159.506614788</v>
      </c>
      <c r="G29" s="22" t="n">
        <f aca="false">E29-F29</f>
        <v>-29388.3666147884</v>
      </c>
    </row>
    <row r="30" customFormat="false" ht="15" hidden="false" customHeight="true" outlineLevel="0" collapsed="false">
      <c r="A30" s="9" t="str">
        <f aca="false">Cleaned_Prepared_Data!A30</f>
        <v>STR-1007</v>
      </c>
      <c r="B30" s="10" t="n">
        <f aca="false">Cleaned_Prepared_Data!B30</f>
        <v>45689</v>
      </c>
      <c r="C30" s="9" t="str">
        <f aca="false">Cleaned_Prepared_Data!C30</f>
        <v>West</v>
      </c>
      <c r="D30" s="9" t="str">
        <f aca="false">Cleaned_Prepared_Data!D30</f>
        <v>Mall</v>
      </c>
      <c r="E30" s="9" t="n">
        <f aca="false">Cleaned_Prepared_Data!M30</f>
        <v>800451.94</v>
      </c>
      <c r="F30" s="22" t="n">
        <f aca="false">Multiple_Regression!$B$6+Multiple_Regression!$B$7*Cleaned_Prepared_Data!F30+Multiple_Regression!$B$8*Cleaned_Prepared_Data!E30+Multiple_Regression!$B$9*Cleaned_Prepared_Data!I30+Multiple_Regression!$B$10*Cleaned_Prepared_Data!H30+Multiple_Regression!$B$11*Cleaned_Prepared_Data!G30+Multiple_Regression!$B$12*Dummy_Variables!D30+Multiple_Regression!$B$13*Dummy_Variables!E30+Multiple_Regression!$B$14*Dummy_Variables!F30</f>
        <v>902132.197677189</v>
      </c>
      <c r="G30" s="22" t="n">
        <f aca="false">E30-F30</f>
        <v>-101680.257677189</v>
      </c>
    </row>
    <row r="31" customFormat="false" ht="15" hidden="false" customHeight="true" outlineLevel="0" collapsed="false">
      <c r="A31" s="9" t="str">
        <f aca="false">Cleaned_Prepared_Data!A31</f>
        <v>STR-1007</v>
      </c>
      <c r="B31" s="10" t="n">
        <f aca="false">Cleaned_Prepared_Data!B31</f>
        <v>45717</v>
      </c>
      <c r="C31" s="9" t="str">
        <f aca="false">Cleaned_Prepared_Data!C31</f>
        <v>West</v>
      </c>
      <c r="D31" s="9" t="str">
        <f aca="false">Cleaned_Prepared_Data!D31</f>
        <v>Mall</v>
      </c>
      <c r="E31" s="9" t="n">
        <f aca="false">Cleaned_Prepared_Data!M31</f>
        <v>783672.82</v>
      </c>
      <c r="F31" s="22" t="n">
        <f aca="false">Multiple_Regression!$B$6+Multiple_Regression!$B$7*Cleaned_Prepared_Data!F31+Multiple_Regression!$B$8*Cleaned_Prepared_Data!E31+Multiple_Regression!$B$9*Cleaned_Prepared_Data!I31+Multiple_Regression!$B$10*Cleaned_Prepared_Data!H31+Multiple_Regression!$B$11*Cleaned_Prepared_Data!G31+Multiple_Regression!$B$12*Dummy_Variables!D31+Multiple_Regression!$B$13*Dummy_Variables!E31+Multiple_Regression!$B$14*Dummy_Variables!F31</f>
        <v>795939.471379533</v>
      </c>
      <c r="G31" s="22" t="n">
        <f aca="false">E31-F31</f>
        <v>-12266.6513795326</v>
      </c>
    </row>
    <row r="32" customFormat="false" ht="15" hidden="false" customHeight="true" outlineLevel="0" collapsed="false">
      <c r="A32" s="9" t="str">
        <f aca="false">Cleaned_Prepared_Data!A32</f>
        <v>STR-1007</v>
      </c>
      <c r="B32" s="10" t="n">
        <f aca="false">Cleaned_Prepared_Data!B32</f>
        <v>45748</v>
      </c>
      <c r="C32" s="9" t="str">
        <f aca="false">Cleaned_Prepared_Data!C32</f>
        <v>West</v>
      </c>
      <c r="D32" s="9" t="str">
        <f aca="false">Cleaned_Prepared_Data!D32</f>
        <v>Mall</v>
      </c>
      <c r="E32" s="9" t="n">
        <f aca="false">Cleaned_Prepared_Data!M32</f>
        <v>701641.97</v>
      </c>
      <c r="F32" s="22" t="n">
        <f aca="false">Multiple_Regression!$B$6+Multiple_Regression!$B$7*Cleaned_Prepared_Data!F32+Multiple_Regression!$B$8*Cleaned_Prepared_Data!E32+Multiple_Regression!$B$9*Cleaned_Prepared_Data!I32+Multiple_Regression!$B$10*Cleaned_Prepared_Data!H32+Multiple_Regression!$B$11*Cleaned_Prepared_Data!G32+Multiple_Regression!$B$12*Dummy_Variables!D32+Multiple_Regression!$B$13*Dummy_Variables!E32+Multiple_Regression!$B$14*Dummy_Variables!F32</f>
        <v>694644.476417394</v>
      </c>
      <c r="G32" s="22" t="n">
        <f aca="false">E32-F32</f>
        <v>6997.49358260597</v>
      </c>
    </row>
    <row r="33" customFormat="false" ht="15" hidden="false" customHeight="true" outlineLevel="0" collapsed="false">
      <c r="A33" s="9" t="str">
        <f aca="false">Cleaned_Prepared_Data!A33</f>
        <v>STR-1008</v>
      </c>
      <c r="B33" s="10" t="n">
        <f aca="false">Cleaned_Prepared_Data!B33</f>
        <v>45658</v>
      </c>
      <c r="C33" s="9" t="str">
        <f aca="false">Cleaned_Prepared_Data!C33</f>
        <v>East</v>
      </c>
      <c r="D33" s="9" t="str">
        <f aca="false">Cleaned_Prepared_Data!D33</f>
        <v>Residential</v>
      </c>
      <c r="E33" s="9" t="n">
        <f aca="false">Cleaned_Prepared_Data!M33</f>
        <v>511844.41</v>
      </c>
      <c r="F33" s="22" t="n">
        <f aca="false">Multiple_Regression!$B$6+Multiple_Regression!$B$7*Cleaned_Prepared_Data!F33+Multiple_Regression!$B$8*Cleaned_Prepared_Data!E33+Multiple_Regression!$B$9*Cleaned_Prepared_Data!I33+Multiple_Regression!$B$10*Cleaned_Prepared_Data!H33+Multiple_Regression!$B$11*Cleaned_Prepared_Data!G33+Multiple_Regression!$B$12*Dummy_Variables!D33+Multiple_Regression!$B$13*Dummy_Variables!E33+Multiple_Regression!$B$14*Dummy_Variables!F33</f>
        <v>582071.905997696</v>
      </c>
      <c r="G33" s="22" t="n">
        <f aca="false">E33-F33</f>
        <v>-70227.4959976964</v>
      </c>
    </row>
    <row r="34" customFormat="false" ht="15" hidden="false" customHeight="true" outlineLevel="0" collapsed="false">
      <c r="A34" s="9" t="str">
        <f aca="false">Cleaned_Prepared_Data!A34</f>
        <v>STR-1008</v>
      </c>
      <c r="B34" s="10" t="n">
        <f aca="false">Cleaned_Prepared_Data!B34</f>
        <v>45689</v>
      </c>
      <c r="C34" s="9" t="str">
        <f aca="false">Cleaned_Prepared_Data!C34</f>
        <v>East</v>
      </c>
      <c r="D34" s="9" t="str">
        <f aca="false">Cleaned_Prepared_Data!D34</f>
        <v>Residential</v>
      </c>
      <c r="E34" s="9" t="n">
        <f aca="false">Cleaned_Prepared_Data!M34</f>
        <v>537383.79</v>
      </c>
      <c r="F34" s="22" t="n">
        <f aca="false">Multiple_Regression!$B$6+Multiple_Regression!$B$7*Cleaned_Prepared_Data!F34+Multiple_Regression!$B$8*Cleaned_Prepared_Data!E34+Multiple_Regression!$B$9*Cleaned_Prepared_Data!I34+Multiple_Regression!$B$10*Cleaned_Prepared_Data!H34+Multiple_Regression!$B$11*Cleaned_Prepared_Data!G34+Multiple_Regression!$B$12*Dummy_Variables!D34+Multiple_Regression!$B$13*Dummy_Variables!E34+Multiple_Regression!$B$14*Dummy_Variables!F34</f>
        <v>526290.378607246</v>
      </c>
      <c r="G34" s="22" t="n">
        <f aca="false">E34-F34</f>
        <v>11093.4113927538</v>
      </c>
    </row>
    <row r="35" customFormat="false" ht="15" hidden="false" customHeight="true" outlineLevel="0" collapsed="false">
      <c r="A35" s="9" t="str">
        <f aca="false">Cleaned_Prepared_Data!A35</f>
        <v>STR-1008</v>
      </c>
      <c r="B35" s="10" t="n">
        <f aca="false">Cleaned_Prepared_Data!B35</f>
        <v>45717</v>
      </c>
      <c r="C35" s="9" t="str">
        <f aca="false">Cleaned_Prepared_Data!C35</f>
        <v>East</v>
      </c>
      <c r="D35" s="9" t="str">
        <f aca="false">Cleaned_Prepared_Data!D35</f>
        <v>Residential</v>
      </c>
      <c r="E35" s="9" t="n">
        <f aca="false">Cleaned_Prepared_Data!M35</f>
        <v>500173.02</v>
      </c>
      <c r="F35" s="22" t="n">
        <f aca="false">Multiple_Regression!$B$6+Multiple_Regression!$B$7*Cleaned_Prepared_Data!F35+Multiple_Regression!$B$8*Cleaned_Prepared_Data!E35+Multiple_Regression!$B$9*Cleaned_Prepared_Data!I35+Multiple_Regression!$B$10*Cleaned_Prepared_Data!H35+Multiple_Regression!$B$11*Cleaned_Prepared_Data!G35+Multiple_Regression!$B$12*Dummy_Variables!D35+Multiple_Regression!$B$13*Dummy_Variables!E35+Multiple_Regression!$B$14*Dummy_Variables!F35</f>
        <v>517975.221240367</v>
      </c>
      <c r="G35" s="22" t="n">
        <f aca="false">E35-F35</f>
        <v>-17802.2012403669</v>
      </c>
    </row>
    <row r="36" customFormat="false" ht="15" hidden="false" customHeight="true" outlineLevel="0" collapsed="false">
      <c r="A36" s="9" t="str">
        <f aca="false">Cleaned_Prepared_Data!A36</f>
        <v>STR-1008</v>
      </c>
      <c r="B36" s="10" t="n">
        <f aca="false">Cleaned_Prepared_Data!B36</f>
        <v>45748</v>
      </c>
      <c r="C36" s="9" t="str">
        <f aca="false">Cleaned_Prepared_Data!C36</f>
        <v>East</v>
      </c>
      <c r="D36" s="9" t="str">
        <f aca="false">Cleaned_Prepared_Data!D36</f>
        <v>Residential</v>
      </c>
      <c r="E36" s="9" t="n">
        <f aca="false">Cleaned_Prepared_Data!M36</f>
        <v>427917.38</v>
      </c>
      <c r="F36" s="22" t="n">
        <f aca="false">Multiple_Regression!$B$6+Multiple_Regression!$B$7*Cleaned_Prepared_Data!F36+Multiple_Regression!$B$8*Cleaned_Prepared_Data!E36+Multiple_Regression!$B$9*Cleaned_Prepared_Data!I36+Multiple_Regression!$B$10*Cleaned_Prepared_Data!H36+Multiple_Regression!$B$11*Cleaned_Prepared_Data!G36+Multiple_Regression!$B$12*Dummy_Variables!D36+Multiple_Regression!$B$13*Dummy_Variables!E36+Multiple_Regression!$B$14*Dummy_Variables!F36</f>
        <v>491928.834961226</v>
      </c>
      <c r="G36" s="22" t="n">
        <f aca="false">E36-F36</f>
        <v>-64011.4549612259</v>
      </c>
    </row>
    <row r="37" customFormat="false" ht="15" hidden="false" customHeight="true" outlineLevel="0" collapsed="false">
      <c r="A37" s="9" t="str">
        <f aca="false">Cleaned_Prepared_Data!A37</f>
        <v>STR-1009</v>
      </c>
      <c r="B37" s="10" t="n">
        <f aca="false">Cleaned_Prepared_Data!B37</f>
        <v>45658</v>
      </c>
      <c r="C37" s="9" t="str">
        <f aca="false">Cleaned_Prepared_Data!C37</f>
        <v>North</v>
      </c>
      <c r="D37" s="9" t="str">
        <f aca="false">Cleaned_Prepared_Data!D37</f>
        <v>Residential</v>
      </c>
      <c r="E37" s="9" t="n">
        <f aca="false">Cleaned_Prepared_Data!M37</f>
        <v>641865.03</v>
      </c>
      <c r="F37" s="22" t="n">
        <f aca="false">Multiple_Regression!$B$6+Multiple_Regression!$B$7*Cleaned_Prepared_Data!F37+Multiple_Regression!$B$8*Cleaned_Prepared_Data!E37+Multiple_Regression!$B$9*Cleaned_Prepared_Data!I37+Multiple_Regression!$B$10*Cleaned_Prepared_Data!H37+Multiple_Regression!$B$11*Cleaned_Prepared_Data!G37+Multiple_Regression!$B$12*Dummy_Variables!D37+Multiple_Regression!$B$13*Dummy_Variables!E37+Multiple_Regression!$B$14*Dummy_Variables!F37</f>
        <v>740978.719750533</v>
      </c>
      <c r="G37" s="22" t="n">
        <f aca="false">E37-F37</f>
        <v>-99113.6897505329</v>
      </c>
    </row>
    <row r="38" customFormat="false" ht="15" hidden="false" customHeight="true" outlineLevel="0" collapsed="false">
      <c r="A38" s="9" t="str">
        <f aca="false">Cleaned_Prepared_Data!A38</f>
        <v>STR-1009</v>
      </c>
      <c r="B38" s="10" t="n">
        <f aca="false">Cleaned_Prepared_Data!B38</f>
        <v>45717</v>
      </c>
      <c r="C38" s="9" t="str">
        <f aca="false">Cleaned_Prepared_Data!C38</f>
        <v>North</v>
      </c>
      <c r="D38" s="9" t="str">
        <f aca="false">Cleaned_Prepared_Data!D38</f>
        <v>Residential</v>
      </c>
      <c r="E38" s="9" t="n">
        <f aca="false">Cleaned_Prepared_Data!M38</f>
        <v>798952.17</v>
      </c>
      <c r="F38" s="22" t="n">
        <f aca="false">Multiple_Regression!$B$6+Multiple_Regression!$B$7*Cleaned_Prepared_Data!F38+Multiple_Regression!$B$8*Cleaned_Prepared_Data!E38+Multiple_Regression!$B$9*Cleaned_Prepared_Data!I38+Multiple_Regression!$B$10*Cleaned_Prepared_Data!H38+Multiple_Regression!$B$11*Cleaned_Prepared_Data!G38+Multiple_Regression!$B$12*Dummy_Variables!D38+Multiple_Regression!$B$13*Dummy_Variables!E38+Multiple_Regression!$B$14*Dummy_Variables!F38</f>
        <v>803449.991803682</v>
      </c>
      <c r="G38" s="22" t="n">
        <f aca="false">E38-F38</f>
        <v>-4497.82180368213</v>
      </c>
    </row>
    <row r="39" customFormat="false" ht="15" hidden="false" customHeight="true" outlineLevel="0" collapsed="false">
      <c r="A39" s="9" t="str">
        <f aca="false">Cleaned_Prepared_Data!A39</f>
        <v>STR-1009</v>
      </c>
      <c r="B39" s="10" t="n">
        <f aca="false">Cleaned_Prepared_Data!B39</f>
        <v>45748</v>
      </c>
      <c r="C39" s="9" t="str">
        <f aca="false">Cleaned_Prepared_Data!C39</f>
        <v>North</v>
      </c>
      <c r="D39" s="9" t="str">
        <f aca="false">Cleaned_Prepared_Data!D39</f>
        <v>Residential</v>
      </c>
      <c r="E39" s="9" t="n">
        <f aca="false">Cleaned_Prepared_Data!M39</f>
        <v>800979.78</v>
      </c>
      <c r="F39" s="22" t="n">
        <f aca="false">Multiple_Regression!$B$6+Multiple_Regression!$B$7*Cleaned_Prepared_Data!F39+Multiple_Regression!$B$8*Cleaned_Prepared_Data!E39+Multiple_Regression!$B$9*Cleaned_Prepared_Data!I39+Multiple_Regression!$B$10*Cleaned_Prepared_Data!H39+Multiple_Regression!$B$11*Cleaned_Prepared_Data!G39+Multiple_Regression!$B$12*Dummy_Variables!D39+Multiple_Regression!$B$13*Dummy_Variables!E39+Multiple_Regression!$B$14*Dummy_Variables!F39</f>
        <v>820247.660973769</v>
      </c>
      <c r="G39" s="22" t="n">
        <f aca="false">E39-F39</f>
        <v>-19267.8809737687</v>
      </c>
    </row>
    <row r="40" customFormat="false" ht="15" hidden="false" customHeight="true" outlineLevel="0" collapsed="false">
      <c r="A40" s="9" t="str">
        <f aca="false">Cleaned_Prepared_Data!A40</f>
        <v>STR-1010</v>
      </c>
      <c r="B40" s="10" t="n">
        <f aca="false">Cleaned_Prepared_Data!B40</f>
        <v>45658</v>
      </c>
      <c r="C40" s="9" t="str">
        <f aca="false">Cleaned_Prepared_Data!C40</f>
        <v>North</v>
      </c>
      <c r="D40" s="9" t="str">
        <f aca="false">Cleaned_Prepared_Data!D40</f>
        <v>Mall</v>
      </c>
      <c r="E40" s="9" t="n">
        <f aca="false">Cleaned_Prepared_Data!M40</f>
        <v>820593.93</v>
      </c>
      <c r="F40" s="22" t="n">
        <f aca="false">Multiple_Regression!$B$6+Multiple_Regression!$B$7*Cleaned_Prepared_Data!F40+Multiple_Regression!$B$8*Cleaned_Prepared_Data!E40+Multiple_Regression!$B$9*Cleaned_Prepared_Data!I40+Multiple_Regression!$B$10*Cleaned_Prepared_Data!H40+Multiple_Regression!$B$11*Cleaned_Prepared_Data!G40+Multiple_Regression!$B$12*Dummy_Variables!D40+Multiple_Regression!$B$13*Dummy_Variables!E40+Multiple_Regression!$B$14*Dummy_Variables!F40</f>
        <v>779112.321301102</v>
      </c>
      <c r="G40" s="22" t="n">
        <f aca="false">E40-F40</f>
        <v>41481.6086988979</v>
      </c>
    </row>
    <row r="41" customFormat="false" ht="15" hidden="false" customHeight="true" outlineLevel="0" collapsed="false">
      <c r="A41" s="9" t="str">
        <f aca="false">Cleaned_Prepared_Data!A41</f>
        <v>STR-1010</v>
      </c>
      <c r="B41" s="10" t="n">
        <f aca="false">Cleaned_Prepared_Data!B41</f>
        <v>45689</v>
      </c>
      <c r="C41" s="9" t="str">
        <f aca="false">Cleaned_Prepared_Data!C41</f>
        <v>North</v>
      </c>
      <c r="D41" s="9" t="str">
        <f aca="false">Cleaned_Prepared_Data!D41</f>
        <v>Mall</v>
      </c>
      <c r="E41" s="9" t="n">
        <f aca="false">Cleaned_Prepared_Data!M41</f>
        <v>718330.53</v>
      </c>
      <c r="F41" s="22" t="n">
        <f aca="false">Multiple_Regression!$B$6+Multiple_Regression!$B$7*Cleaned_Prepared_Data!F41+Multiple_Regression!$B$8*Cleaned_Prepared_Data!E41+Multiple_Regression!$B$9*Cleaned_Prepared_Data!I41+Multiple_Regression!$B$10*Cleaned_Prepared_Data!H41+Multiple_Regression!$B$11*Cleaned_Prepared_Data!G41+Multiple_Regression!$B$12*Dummy_Variables!D41+Multiple_Regression!$B$13*Dummy_Variables!E41+Multiple_Regression!$B$14*Dummy_Variables!F41</f>
        <v>762280.728020875</v>
      </c>
      <c r="G41" s="22" t="n">
        <f aca="false">E41-F41</f>
        <v>-43950.1980208745</v>
      </c>
    </row>
    <row r="42" customFormat="false" ht="15" hidden="false" customHeight="true" outlineLevel="0" collapsed="false">
      <c r="A42" s="9" t="str">
        <f aca="false">Cleaned_Prepared_Data!A42</f>
        <v>STR-1010</v>
      </c>
      <c r="B42" s="10" t="n">
        <f aca="false">Cleaned_Prepared_Data!B42</f>
        <v>45717</v>
      </c>
      <c r="C42" s="9" t="str">
        <f aca="false">Cleaned_Prepared_Data!C42</f>
        <v>North</v>
      </c>
      <c r="D42" s="9" t="str">
        <f aca="false">Cleaned_Prepared_Data!D42</f>
        <v>Mall</v>
      </c>
      <c r="E42" s="9" t="n">
        <f aca="false">Cleaned_Prepared_Data!M42</f>
        <v>736633.4</v>
      </c>
      <c r="F42" s="22" t="n">
        <f aca="false">Multiple_Regression!$B$6+Multiple_Regression!$B$7*Cleaned_Prepared_Data!F42+Multiple_Regression!$B$8*Cleaned_Prepared_Data!E42+Multiple_Regression!$B$9*Cleaned_Prepared_Data!I42+Multiple_Regression!$B$10*Cleaned_Prepared_Data!H42+Multiple_Regression!$B$11*Cleaned_Prepared_Data!G42+Multiple_Regression!$B$12*Dummy_Variables!D42+Multiple_Regression!$B$13*Dummy_Variables!E42+Multiple_Regression!$B$14*Dummy_Variables!F42</f>
        <v>751134.645926872</v>
      </c>
      <c r="G42" s="22" t="n">
        <f aca="false">E42-F42</f>
        <v>-14501.2459268715</v>
      </c>
    </row>
    <row r="43" customFormat="false" ht="15" hidden="false" customHeight="true" outlineLevel="0" collapsed="false">
      <c r="A43" s="9" t="str">
        <f aca="false">Cleaned_Prepared_Data!A43</f>
        <v>STR-1010</v>
      </c>
      <c r="B43" s="10" t="n">
        <f aca="false">Cleaned_Prepared_Data!B43</f>
        <v>45748</v>
      </c>
      <c r="C43" s="9" t="str">
        <f aca="false">Cleaned_Prepared_Data!C43</f>
        <v>North</v>
      </c>
      <c r="D43" s="9" t="str">
        <f aca="false">Cleaned_Prepared_Data!D43</f>
        <v>Mall</v>
      </c>
      <c r="E43" s="9" t="n">
        <f aca="false">Cleaned_Prepared_Data!M43</f>
        <v>828623.85</v>
      </c>
      <c r="F43" s="22" t="n">
        <f aca="false">Multiple_Regression!$B$6+Multiple_Regression!$B$7*Cleaned_Prepared_Data!F43+Multiple_Regression!$B$8*Cleaned_Prepared_Data!E43+Multiple_Regression!$B$9*Cleaned_Prepared_Data!I43+Multiple_Regression!$B$10*Cleaned_Prepared_Data!H43+Multiple_Regression!$B$11*Cleaned_Prepared_Data!G43+Multiple_Regression!$B$12*Dummy_Variables!D43+Multiple_Regression!$B$13*Dummy_Variables!E43+Multiple_Regression!$B$14*Dummy_Variables!F43</f>
        <v>841103.737637576</v>
      </c>
      <c r="G43" s="22" t="n">
        <f aca="false">E43-F43</f>
        <v>-12479.8876375761</v>
      </c>
    </row>
    <row r="44" customFormat="false" ht="15" hidden="false" customHeight="true" outlineLevel="0" collapsed="false">
      <c r="A44" s="9" t="str">
        <f aca="false">Cleaned_Prepared_Data!A44</f>
        <v>STR-1011</v>
      </c>
      <c r="B44" s="10" t="n">
        <f aca="false">Cleaned_Prepared_Data!B44</f>
        <v>45658</v>
      </c>
      <c r="C44" s="9" t="str">
        <f aca="false">Cleaned_Prepared_Data!C44</f>
        <v>East</v>
      </c>
      <c r="D44" s="9" t="str">
        <f aca="false">Cleaned_Prepared_Data!D44</f>
        <v>Mall</v>
      </c>
      <c r="E44" s="9" t="n">
        <f aca="false">Cleaned_Prepared_Data!M44</f>
        <v>592195.85</v>
      </c>
      <c r="F44" s="22" t="n">
        <f aca="false">Multiple_Regression!$B$6+Multiple_Regression!$B$7*Cleaned_Prepared_Data!F44+Multiple_Regression!$B$8*Cleaned_Prepared_Data!E44+Multiple_Regression!$B$9*Cleaned_Prepared_Data!I44+Multiple_Regression!$B$10*Cleaned_Prepared_Data!H44+Multiple_Regression!$B$11*Cleaned_Prepared_Data!G44+Multiple_Regression!$B$12*Dummy_Variables!D44+Multiple_Regression!$B$13*Dummy_Variables!E44+Multiple_Regression!$B$14*Dummy_Variables!F44</f>
        <v>590424.147551132</v>
      </c>
      <c r="G44" s="22" t="n">
        <f aca="false">E44-F44</f>
        <v>1771.70244886843</v>
      </c>
    </row>
    <row r="45" customFormat="false" ht="15" hidden="false" customHeight="true" outlineLevel="0" collapsed="false">
      <c r="A45" s="9" t="str">
        <f aca="false">Cleaned_Prepared_Data!A45</f>
        <v>STR-1011</v>
      </c>
      <c r="B45" s="10" t="n">
        <f aca="false">Cleaned_Prepared_Data!B45</f>
        <v>45689</v>
      </c>
      <c r="C45" s="9" t="str">
        <f aca="false">Cleaned_Prepared_Data!C45</f>
        <v>East</v>
      </c>
      <c r="D45" s="9" t="str">
        <f aca="false">Cleaned_Prepared_Data!D45</f>
        <v>Mall</v>
      </c>
      <c r="E45" s="9" t="n">
        <f aca="false">Cleaned_Prepared_Data!M45</f>
        <v>532644.46</v>
      </c>
      <c r="F45" s="22" t="n">
        <f aca="false">Multiple_Regression!$B$6+Multiple_Regression!$B$7*Cleaned_Prepared_Data!F45+Multiple_Regression!$B$8*Cleaned_Prepared_Data!E45+Multiple_Regression!$B$9*Cleaned_Prepared_Data!I45+Multiple_Regression!$B$10*Cleaned_Prepared_Data!H45+Multiple_Regression!$B$11*Cleaned_Prepared_Data!G45+Multiple_Regression!$B$12*Dummy_Variables!D45+Multiple_Regression!$B$13*Dummy_Variables!E45+Multiple_Regression!$B$14*Dummy_Variables!F45</f>
        <v>529532.410826973</v>
      </c>
      <c r="G45" s="22" t="n">
        <f aca="false">E45-F45</f>
        <v>3112.0491730267</v>
      </c>
    </row>
    <row r="46" customFormat="false" ht="15" hidden="false" customHeight="true" outlineLevel="0" collapsed="false">
      <c r="A46" s="9" t="str">
        <f aca="false">Cleaned_Prepared_Data!A46</f>
        <v>STR-1011</v>
      </c>
      <c r="B46" s="10" t="n">
        <f aca="false">Cleaned_Prepared_Data!B46</f>
        <v>45717</v>
      </c>
      <c r="C46" s="9" t="str">
        <f aca="false">Cleaned_Prepared_Data!C46</f>
        <v>East</v>
      </c>
      <c r="D46" s="9" t="str">
        <f aca="false">Cleaned_Prepared_Data!D46</f>
        <v>Mall</v>
      </c>
      <c r="E46" s="9" t="n">
        <f aca="false">Cleaned_Prepared_Data!M46</f>
        <v>657429.18</v>
      </c>
      <c r="F46" s="22" t="n">
        <f aca="false">Multiple_Regression!$B$6+Multiple_Regression!$B$7*Cleaned_Prepared_Data!F46+Multiple_Regression!$B$8*Cleaned_Prepared_Data!E46+Multiple_Regression!$B$9*Cleaned_Prepared_Data!I46+Multiple_Regression!$B$10*Cleaned_Prepared_Data!H46+Multiple_Regression!$B$11*Cleaned_Prepared_Data!G46+Multiple_Regression!$B$12*Dummy_Variables!D46+Multiple_Regression!$B$13*Dummy_Variables!E46+Multiple_Regression!$B$14*Dummy_Variables!F46</f>
        <v>606802.000466796</v>
      </c>
      <c r="G46" s="22" t="n">
        <f aca="false">E46-F46</f>
        <v>50627.1795332045</v>
      </c>
    </row>
    <row r="47" customFormat="false" ht="15" hidden="false" customHeight="true" outlineLevel="0" collapsed="false">
      <c r="A47" s="9" t="str">
        <f aca="false">Cleaned_Prepared_Data!A47</f>
        <v>STR-1011</v>
      </c>
      <c r="B47" s="10" t="n">
        <f aca="false">Cleaned_Prepared_Data!B47</f>
        <v>45748</v>
      </c>
      <c r="C47" s="9" t="str">
        <f aca="false">Cleaned_Prepared_Data!C47</f>
        <v>East</v>
      </c>
      <c r="D47" s="9" t="str">
        <f aca="false">Cleaned_Prepared_Data!D47</f>
        <v>Mall</v>
      </c>
      <c r="E47" s="9" t="n">
        <f aca="false">Cleaned_Prepared_Data!M47</f>
        <v>605178</v>
      </c>
      <c r="F47" s="22" t="n">
        <f aca="false">Multiple_Regression!$B$6+Multiple_Regression!$B$7*Cleaned_Prepared_Data!F47+Multiple_Regression!$B$8*Cleaned_Prepared_Data!E47+Multiple_Regression!$B$9*Cleaned_Prepared_Data!I47+Multiple_Regression!$B$10*Cleaned_Prepared_Data!H47+Multiple_Regression!$B$11*Cleaned_Prepared_Data!G47+Multiple_Regression!$B$12*Dummy_Variables!D47+Multiple_Regression!$B$13*Dummy_Variables!E47+Multiple_Regression!$B$14*Dummy_Variables!F47</f>
        <v>613694.301112418</v>
      </c>
      <c r="G47" s="22" t="n">
        <f aca="false">E47-F47</f>
        <v>-8516.30111241806</v>
      </c>
    </row>
    <row r="48" customFormat="false" ht="15" hidden="false" customHeight="true" outlineLevel="0" collapsed="false">
      <c r="A48" s="9" t="str">
        <f aca="false">Cleaned_Prepared_Data!A48</f>
        <v>STR-1012</v>
      </c>
      <c r="B48" s="10" t="n">
        <f aca="false">Cleaned_Prepared_Data!B48</f>
        <v>45658</v>
      </c>
      <c r="C48" s="9" t="str">
        <f aca="false">Cleaned_Prepared_Data!C48</f>
        <v>West</v>
      </c>
      <c r="D48" s="9" t="str">
        <f aca="false">Cleaned_Prepared_Data!D48</f>
        <v>Residential</v>
      </c>
      <c r="E48" s="9" t="n">
        <f aca="false">Cleaned_Prepared_Data!M48</f>
        <v>595467.6</v>
      </c>
      <c r="F48" s="22" t="n">
        <f aca="false">Multiple_Regression!$B$6+Multiple_Regression!$B$7*Cleaned_Prepared_Data!F48+Multiple_Regression!$B$8*Cleaned_Prepared_Data!E48+Multiple_Regression!$B$9*Cleaned_Prepared_Data!I48+Multiple_Regression!$B$10*Cleaned_Prepared_Data!H48+Multiple_Regression!$B$11*Cleaned_Prepared_Data!G48+Multiple_Regression!$B$12*Dummy_Variables!D48+Multiple_Regression!$B$13*Dummy_Variables!E48+Multiple_Regression!$B$14*Dummy_Variables!F48</f>
        <v>725128.055973367</v>
      </c>
      <c r="G48" s="22" t="n">
        <f aca="false">E48-F48</f>
        <v>-129660.455973367</v>
      </c>
    </row>
    <row r="49" customFormat="false" ht="15" hidden="false" customHeight="true" outlineLevel="0" collapsed="false">
      <c r="A49" s="9" t="str">
        <f aca="false">Cleaned_Prepared_Data!A49</f>
        <v>STR-1012</v>
      </c>
      <c r="B49" s="10" t="n">
        <f aca="false">Cleaned_Prepared_Data!B49</f>
        <v>45689</v>
      </c>
      <c r="C49" s="9" t="str">
        <f aca="false">Cleaned_Prepared_Data!C49</f>
        <v>West</v>
      </c>
      <c r="D49" s="9" t="str">
        <f aca="false">Cleaned_Prepared_Data!D49</f>
        <v>Residential</v>
      </c>
      <c r="E49" s="9" t="n">
        <f aca="false">Cleaned_Prepared_Data!M49</f>
        <v>599603.4</v>
      </c>
      <c r="F49" s="22" t="n">
        <f aca="false">Multiple_Regression!$B$6+Multiple_Regression!$B$7*Cleaned_Prepared_Data!F49+Multiple_Regression!$B$8*Cleaned_Prepared_Data!E49+Multiple_Regression!$B$9*Cleaned_Prepared_Data!I49+Multiple_Regression!$B$10*Cleaned_Prepared_Data!H49+Multiple_Regression!$B$11*Cleaned_Prepared_Data!G49+Multiple_Regression!$B$12*Dummy_Variables!D49+Multiple_Regression!$B$13*Dummy_Variables!E49+Multiple_Regression!$B$14*Dummy_Variables!F49</f>
        <v>630477.714322039</v>
      </c>
      <c r="G49" s="22" t="n">
        <f aca="false">E49-F49</f>
        <v>-30874.3143220386</v>
      </c>
    </row>
    <row r="50" customFormat="false" ht="15" hidden="false" customHeight="true" outlineLevel="0" collapsed="false">
      <c r="A50" s="9" t="str">
        <f aca="false">Cleaned_Prepared_Data!A50</f>
        <v>STR-1012</v>
      </c>
      <c r="B50" s="10" t="n">
        <f aca="false">Cleaned_Prepared_Data!B50</f>
        <v>45717</v>
      </c>
      <c r="C50" s="9" t="str">
        <f aca="false">Cleaned_Prepared_Data!C50</f>
        <v>West</v>
      </c>
      <c r="D50" s="9" t="str">
        <f aca="false">Cleaned_Prepared_Data!D50</f>
        <v>Residential</v>
      </c>
      <c r="E50" s="9" t="n">
        <f aca="false">Cleaned_Prepared_Data!M50</f>
        <v>614800.09</v>
      </c>
      <c r="F50" s="22" t="n">
        <f aca="false">Multiple_Regression!$B$6+Multiple_Regression!$B$7*Cleaned_Prepared_Data!F50+Multiple_Regression!$B$8*Cleaned_Prepared_Data!E50+Multiple_Regression!$B$9*Cleaned_Prepared_Data!I50+Multiple_Regression!$B$10*Cleaned_Prepared_Data!H50+Multiple_Regression!$B$11*Cleaned_Prepared_Data!G50+Multiple_Regression!$B$12*Dummy_Variables!D50+Multiple_Regression!$B$13*Dummy_Variables!E50+Multiple_Regression!$B$14*Dummy_Variables!F50</f>
        <v>572932.440896283</v>
      </c>
      <c r="G50" s="22" t="n">
        <f aca="false">E50-F50</f>
        <v>41867.649103717</v>
      </c>
    </row>
    <row r="51" customFormat="false" ht="15" hidden="false" customHeight="true" outlineLevel="0" collapsed="false">
      <c r="A51" s="9" t="str">
        <f aca="false">Cleaned_Prepared_Data!A51</f>
        <v>STR-1012</v>
      </c>
      <c r="B51" s="10" t="n">
        <f aca="false">Cleaned_Prepared_Data!B51</f>
        <v>45748</v>
      </c>
      <c r="C51" s="9" t="str">
        <f aca="false">Cleaned_Prepared_Data!C51</f>
        <v>West</v>
      </c>
      <c r="D51" s="9" t="str">
        <f aca="false">Cleaned_Prepared_Data!D51</f>
        <v>Residential</v>
      </c>
      <c r="E51" s="9" t="n">
        <f aca="false">Cleaned_Prepared_Data!M51</f>
        <v>585365.73</v>
      </c>
      <c r="F51" s="22" t="n">
        <f aca="false">Multiple_Regression!$B$6+Multiple_Regression!$B$7*Cleaned_Prepared_Data!F51+Multiple_Regression!$B$8*Cleaned_Prepared_Data!E51+Multiple_Regression!$B$9*Cleaned_Prepared_Data!I51+Multiple_Regression!$B$10*Cleaned_Prepared_Data!H51+Multiple_Regression!$B$11*Cleaned_Prepared_Data!G51+Multiple_Regression!$B$12*Dummy_Variables!D51+Multiple_Regression!$B$13*Dummy_Variables!E51+Multiple_Regression!$B$14*Dummy_Variables!F51</f>
        <v>571630.625860012</v>
      </c>
      <c r="G51" s="22" t="n">
        <f aca="false">E51-F51</f>
        <v>13735.1041399878</v>
      </c>
    </row>
    <row r="52" customFormat="false" ht="15" hidden="false" customHeight="true" outlineLevel="0" collapsed="false">
      <c r="A52" s="9" t="str">
        <f aca="false">Cleaned_Prepared_Data!A52</f>
        <v>STR-1013</v>
      </c>
      <c r="B52" s="10" t="n">
        <f aca="false">Cleaned_Prepared_Data!B52</f>
        <v>45658</v>
      </c>
      <c r="C52" s="9" t="str">
        <f aca="false">Cleaned_Prepared_Data!C52</f>
        <v>North</v>
      </c>
      <c r="D52" s="9" t="str">
        <f aca="false">Cleaned_Prepared_Data!D52</f>
        <v>Mall</v>
      </c>
      <c r="E52" s="9" t="n">
        <f aca="false">Cleaned_Prepared_Data!M52</f>
        <v>622811.74</v>
      </c>
      <c r="F52" s="22" t="n">
        <f aca="false">Multiple_Regression!$B$6+Multiple_Regression!$B$7*Cleaned_Prepared_Data!F52+Multiple_Regression!$B$8*Cleaned_Prepared_Data!E52+Multiple_Regression!$B$9*Cleaned_Prepared_Data!I52+Multiple_Regression!$B$10*Cleaned_Prepared_Data!H52+Multiple_Regression!$B$11*Cleaned_Prepared_Data!G52+Multiple_Regression!$B$12*Dummy_Variables!D52+Multiple_Regression!$B$13*Dummy_Variables!E52+Multiple_Regression!$B$14*Dummy_Variables!F52</f>
        <v>651356.255613272</v>
      </c>
      <c r="G52" s="22" t="n">
        <f aca="false">E52-F52</f>
        <v>-28544.5156132723</v>
      </c>
    </row>
    <row r="53" customFormat="false" ht="15" hidden="false" customHeight="true" outlineLevel="0" collapsed="false">
      <c r="A53" s="9" t="str">
        <f aca="false">Cleaned_Prepared_Data!A53</f>
        <v>STR-1013</v>
      </c>
      <c r="B53" s="10" t="n">
        <f aca="false">Cleaned_Prepared_Data!B53</f>
        <v>45689</v>
      </c>
      <c r="C53" s="9" t="str">
        <f aca="false">Cleaned_Prepared_Data!C53</f>
        <v>North</v>
      </c>
      <c r="D53" s="9" t="str">
        <f aca="false">Cleaned_Prepared_Data!D53</f>
        <v>Mall</v>
      </c>
      <c r="E53" s="9" t="n">
        <f aca="false">Cleaned_Prepared_Data!M53</f>
        <v>603297.57</v>
      </c>
      <c r="F53" s="22" t="n">
        <f aca="false">Multiple_Regression!$B$6+Multiple_Regression!$B$7*Cleaned_Prepared_Data!F53+Multiple_Regression!$B$8*Cleaned_Prepared_Data!E53+Multiple_Regression!$B$9*Cleaned_Prepared_Data!I53+Multiple_Regression!$B$10*Cleaned_Prepared_Data!H53+Multiple_Regression!$B$11*Cleaned_Prepared_Data!G53+Multiple_Regression!$B$12*Dummy_Variables!D53+Multiple_Regression!$B$13*Dummy_Variables!E53+Multiple_Regression!$B$14*Dummy_Variables!F53</f>
        <v>594660.531229711</v>
      </c>
      <c r="G53" s="22" t="n">
        <f aca="false">E53-F53</f>
        <v>8637.03877028939</v>
      </c>
    </row>
    <row r="54" customFormat="false" ht="15" hidden="false" customHeight="true" outlineLevel="0" collapsed="false">
      <c r="A54" s="9" t="str">
        <f aca="false">Cleaned_Prepared_Data!A54</f>
        <v>STR-1013</v>
      </c>
      <c r="B54" s="10" t="n">
        <f aca="false">Cleaned_Prepared_Data!B54</f>
        <v>45717</v>
      </c>
      <c r="C54" s="9" t="str">
        <f aca="false">Cleaned_Prepared_Data!C54</f>
        <v>North</v>
      </c>
      <c r="D54" s="9" t="str">
        <f aca="false">Cleaned_Prepared_Data!D54</f>
        <v>Mall</v>
      </c>
      <c r="E54" s="9" t="n">
        <f aca="false">Cleaned_Prepared_Data!M54</f>
        <v>625672.86</v>
      </c>
      <c r="F54" s="22" t="n">
        <f aca="false">Multiple_Regression!$B$6+Multiple_Regression!$B$7*Cleaned_Prepared_Data!F54+Multiple_Regression!$B$8*Cleaned_Prepared_Data!E54+Multiple_Regression!$B$9*Cleaned_Prepared_Data!I54+Multiple_Regression!$B$10*Cleaned_Prepared_Data!H54+Multiple_Regression!$B$11*Cleaned_Prepared_Data!G54+Multiple_Regression!$B$12*Dummy_Variables!D54+Multiple_Regression!$B$13*Dummy_Variables!E54+Multiple_Regression!$B$14*Dummy_Variables!F54</f>
        <v>614827.14325717</v>
      </c>
      <c r="G54" s="22" t="n">
        <f aca="false">E54-F54</f>
        <v>10845.7167428302</v>
      </c>
    </row>
    <row r="55" customFormat="false" ht="15" hidden="false" customHeight="true" outlineLevel="0" collapsed="false">
      <c r="A55" s="9" t="str">
        <f aca="false">Cleaned_Prepared_Data!A55</f>
        <v>STR-1013</v>
      </c>
      <c r="B55" s="10" t="n">
        <f aca="false">Cleaned_Prepared_Data!B55</f>
        <v>45748</v>
      </c>
      <c r="C55" s="9" t="str">
        <f aca="false">Cleaned_Prepared_Data!C55</f>
        <v>North</v>
      </c>
      <c r="D55" s="9" t="str">
        <f aca="false">Cleaned_Prepared_Data!D55</f>
        <v>Mall</v>
      </c>
      <c r="E55" s="9" t="n">
        <f aca="false">Cleaned_Prepared_Data!M55</f>
        <v>773815.14</v>
      </c>
      <c r="F55" s="22" t="n">
        <f aca="false">Multiple_Regression!$B$6+Multiple_Regression!$B$7*Cleaned_Prepared_Data!F55+Multiple_Regression!$B$8*Cleaned_Prepared_Data!E55+Multiple_Regression!$B$9*Cleaned_Prepared_Data!I55+Multiple_Regression!$B$10*Cleaned_Prepared_Data!H55+Multiple_Regression!$B$11*Cleaned_Prepared_Data!G55+Multiple_Regression!$B$12*Dummy_Variables!D55+Multiple_Regression!$B$13*Dummy_Variables!E55+Multiple_Regression!$B$14*Dummy_Variables!F55</f>
        <v>747516.642445982</v>
      </c>
      <c r="G55" s="22" t="n">
        <f aca="false">E55-F55</f>
        <v>26298.4975540183</v>
      </c>
    </row>
    <row r="56" customFormat="false" ht="15" hidden="false" customHeight="true" outlineLevel="0" collapsed="false">
      <c r="A56" s="9" t="str">
        <f aca="false">Cleaned_Prepared_Data!A56</f>
        <v>STR-1014</v>
      </c>
      <c r="B56" s="10" t="n">
        <f aca="false">Cleaned_Prepared_Data!B56</f>
        <v>45658</v>
      </c>
      <c r="C56" s="9" t="str">
        <f aca="false">Cleaned_Prepared_Data!C56</f>
        <v>West</v>
      </c>
      <c r="D56" s="9" t="str">
        <f aca="false">Cleaned_Prepared_Data!D56</f>
        <v>High Street</v>
      </c>
      <c r="E56" s="9" t="n">
        <f aca="false">Cleaned_Prepared_Data!M56</f>
        <v>463534.25</v>
      </c>
      <c r="F56" s="22" t="n">
        <f aca="false">Multiple_Regression!$B$6+Multiple_Regression!$B$7*Cleaned_Prepared_Data!F56+Multiple_Regression!$B$8*Cleaned_Prepared_Data!E56+Multiple_Regression!$B$9*Cleaned_Prepared_Data!I56+Multiple_Regression!$B$10*Cleaned_Prepared_Data!H56+Multiple_Regression!$B$11*Cleaned_Prepared_Data!G56+Multiple_Regression!$B$12*Dummy_Variables!D56+Multiple_Regression!$B$13*Dummy_Variables!E56+Multiple_Regression!$B$14*Dummy_Variables!F56</f>
        <v>553687.251446157</v>
      </c>
      <c r="G56" s="22" t="n">
        <f aca="false">E56-F56</f>
        <v>-90153.0014461569</v>
      </c>
    </row>
    <row r="57" customFormat="false" ht="15" hidden="false" customHeight="true" outlineLevel="0" collapsed="false">
      <c r="A57" s="9" t="str">
        <f aca="false">Cleaned_Prepared_Data!A57</f>
        <v>STR-1014</v>
      </c>
      <c r="B57" s="10" t="n">
        <f aca="false">Cleaned_Prepared_Data!B57</f>
        <v>45689</v>
      </c>
      <c r="C57" s="9" t="str">
        <f aca="false">Cleaned_Prepared_Data!C57</f>
        <v>West</v>
      </c>
      <c r="D57" s="9" t="str">
        <f aca="false">Cleaned_Prepared_Data!D57</f>
        <v>High Street</v>
      </c>
      <c r="E57" s="9" t="n">
        <f aca="false">Cleaned_Prepared_Data!M57</f>
        <v>746677.75</v>
      </c>
      <c r="F57" s="22" t="n">
        <f aca="false">Multiple_Regression!$B$6+Multiple_Regression!$B$7*Cleaned_Prepared_Data!F57+Multiple_Regression!$B$8*Cleaned_Prepared_Data!E57+Multiple_Regression!$B$9*Cleaned_Prepared_Data!I57+Multiple_Regression!$B$10*Cleaned_Prepared_Data!H57+Multiple_Regression!$B$11*Cleaned_Prepared_Data!G57+Multiple_Regression!$B$12*Dummy_Variables!D57+Multiple_Regression!$B$13*Dummy_Variables!E57+Multiple_Regression!$B$14*Dummy_Variables!F57</f>
        <v>698573.113464313</v>
      </c>
      <c r="G57" s="22" t="n">
        <f aca="false">E57-F57</f>
        <v>48104.6365356873</v>
      </c>
    </row>
    <row r="58" customFormat="false" ht="15" hidden="false" customHeight="true" outlineLevel="0" collapsed="false">
      <c r="A58" s="9" t="str">
        <f aca="false">Cleaned_Prepared_Data!A58</f>
        <v>STR-1014</v>
      </c>
      <c r="B58" s="10" t="n">
        <f aca="false">Cleaned_Prepared_Data!B58</f>
        <v>45717</v>
      </c>
      <c r="C58" s="9" t="str">
        <f aca="false">Cleaned_Prepared_Data!C58</f>
        <v>West</v>
      </c>
      <c r="D58" s="9" t="str">
        <f aca="false">Cleaned_Prepared_Data!D58</f>
        <v>High Street</v>
      </c>
      <c r="E58" s="9" t="n">
        <f aca="false">Cleaned_Prepared_Data!M58</f>
        <v>720852.5</v>
      </c>
      <c r="F58" s="22" t="n">
        <f aca="false">Multiple_Regression!$B$6+Multiple_Regression!$B$7*Cleaned_Prepared_Data!F58+Multiple_Regression!$B$8*Cleaned_Prepared_Data!E58+Multiple_Regression!$B$9*Cleaned_Prepared_Data!I58+Multiple_Regression!$B$10*Cleaned_Prepared_Data!H58+Multiple_Regression!$B$11*Cleaned_Prepared_Data!G58+Multiple_Regression!$B$12*Dummy_Variables!D58+Multiple_Regression!$B$13*Dummy_Variables!E58+Multiple_Regression!$B$14*Dummy_Variables!F58</f>
        <v>673414.627532146</v>
      </c>
      <c r="G58" s="22" t="n">
        <f aca="false">E58-F58</f>
        <v>47437.8724678542</v>
      </c>
    </row>
    <row r="59" customFormat="false" ht="15" hidden="false" customHeight="true" outlineLevel="0" collapsed="false">
      <c r="A59" s="9" t="str">
        <f aca="false">Cleaned_Prepared_Data!A59</f>
        <v>STR-1014</v>
      </c>
      <c r="B59" s="10" t="n">
        <f aca="false">Cleaned_Prepared_Data!B59</f>
        <v>45748</v>
      </c>
      <c r="C59" s="9" t="str">
        <f aca="false">Cleaned_Prepared_Data!C59</f>
        <v>West</v>
      </c>
      <c r="D59" s="9" t="str">
        <f aca="false">Cleaned_Prepared_Data!D59</f>
        <v>High Street</v>
      </c>
      <c r="E59" s="9" t="n">
        <f aca="false">Cleaned_Prepared_Data!M59</f>
        <v>487464.91</v>
      </c>
      <c r="F59" s="22" t="n">
        <f aca="false">Multiple_Regression!$B$6+Multiple_Regression!$B$7*Cleaned_Prepared_Data!F59+Multiple_Regression!$B$8*Cleaned_Prepared_Data!E59+Multiple_Regression!$B$9*Cleaned_Prepared_Data!I59+Multiple_Regression!$B$10*Cleaned_Prepared_Data!H59+Multiple_Regression!$B$11*Cleaned_Prepared_Data!G59+Multiple_Regression!$B$12*Dummy_Variables!D59+Multiple_Regression!$B$13*Dummy_Variables!E59+Multiple_Regression!$B$14*Dummy_Variables!F59</f>
        <v>538194.320291358</v>
      </c>
      <c r="G59" s="22" t="n">
        <f aca="false">E59-F59</f>
        <v>-50729.4102913576</v>
      </c>
    </row>
    <row r="60" customFormat="false" ht="15" hidden="false" customHeight="true" outlineLevel="0" collapsed="false">
      <c r="A60" s="9" t="str">
        <f aca="false">Cleaned_Prepared_Data!A60</f>
        <v>STR-1015</v>
      </c>
      <c r="B60" s="10" t="n">
        <f aca="false">Cleaned_Prepared_Data!B60</f>
        <v>45658</v>
      </c>
      <c r="C60" s="9" t="str">
        <f aca="false">Cleaned_Prepared_Data!C60</f>
        <v>East</v>
      </c>
      <c r="D60" s="9" t="str">
        <f aca="false">Cleaned_Prepared_Data!D60</f>
        <v>Airport</v>
      </c>
      <c r="E60" s="9" t="n">
        <f aca="false">Cleaned_Prepared_Data!M60</f>
        <v>518049.26</v>
      </c>
      <c r="F60" s="22" t="n">
        <f aca="false">Multiple_Regression!$B$6+Multiple_Regression!$B$7*Cleaned_Prepared_Data!F60+Multiple_Regression!$B$8*Cleaned_Prepared_Data!E60+Multiple_Regression!$B$9*Cleaned_Prepared_Data!I60+Multiple_Regression!$B$10*Cleaned_Prepared_Data!H60+Multiple_Regression!$B$11*Cleaned_Prepared_Data!G60+Multiple_Regression!$B$12*Dummy_Variables!D60+Multiple_Regression!$B$13*Dummy_Variables!E60+Multiple_Regression!$B$14*Dummy_Variables!F60</f>
        <v>553514.961621014</v>
      </c>
      <c r="G60" s="22" t="n">
        <f aca="false">E60-F60</f>
        <v>-35465.7016210139</v>
      </c>
    </row>
    <row r="61" customFormat="false" ht="15" hidden="false" customHeight="true" outlineLevel="0" collapsed="false">
      <c r="A61" s="9" t="str">
        <f aca="false">Cleaned_Prepared_Data!A61</f>
        <v>STR-1015</v>
      </c>
      <c r="B61" s="10" t="n">
        <f aca="false">Cleaned_Prepared_Data!B61</f>
        <v>45689</v>
      </c>
      <c r="C61" s="9" t="str">
        <f aca="false">Cleaned_Prepared_Data!C61</f>
        <v>East</v>
      </c>
      <c r="D61" s="9" t="str">
        <f aca="false">Cleaned_Prepared_Data!D61</f>
        <v>Airport</v>
      </c>
      <c r="E61" s="9" t="n">
        <f aca="false">Cleaned_Prepared_Data!M61</f>
        <v>500298.48</v>
      </c>
      <c r="F61" s="22" t="n">
        <f aca="false">Multiple_Regression!$B$6+Multiple_Regression!$B$7*Cleaned_Prepared_Data!F61+Multiple_Regression!$B$8*Cleaned_Prepared_Data!E61+Multiple_Regression!$B$9*Cleaned_Prepared_Data!I61+Multiple_Regression!$B$10*Cleaned_Prepared_Data!H61+Multiple_Regression!$B$11*Cleaned_Prepared_Data!G61+Multiple_Regression!$B$12*Dummy_Variables!D61+Multiple_Regression!$B$13*Dummy_Variables!E61+Multiple_Regression!$B$14*Dummy_Variables!F61</f>
        <v>547530.732834741</v>
      </c>
      <c r="G61" s="22" t="n">
        <f aca="false">E61-F61</f>
        <v>-47232.2528347406</v>
      </c>
    </row>
    <row r="62" customFormat="false" ht="15" hidden="false" customHeight="true" outlineLevel="0" collapsed="false">
      <c r="A62" s="9" t="str">
        <f aca="false">Cleaned_Prepared_Data!A62</f>
        <v>STR-1015</v>
      </c>
      <c r="B62" s="10" t="n">
        <f aca="false">Cleaned_Prepared_Data!B62</f>
        <v>45717</v>
      </c>
      <c r="C62" s="9" t="str">
        <f aca="false">Cleaned_Prepared_Data!C62</f>
        <v>East</v>
      </c>
      <c r="D62" s="9" t="str">
        <f aca="false">Cleaned_Prepared_Data!D62</f>
        <v>Airport</v>
      </c>
      <c r="E62" s="9" t="n">
        <f aca="false">Cleaned_Prepared_Data!M62</f>
        <v>617291.15</v>
      </c>
      <c r="F62" s="22" t="n">
        <f aca="false">Multiple_Regression!$B$6+Multiple_Regression!$B$7*Cleaned_Prepared_Data!F62+Multiple_Regression!$B$8*Cleaned_Prepared_Data!E62+Multiple_Regression!$B$9*Cleaned_Prepared_Data!I62+Multiple_Regression!$B$10*Cleaned_Prepared_Data!H62+Multiple_Regression!$B$11*Cleaned_Prepared_Data!G62+Multiple_Regression!$B$12*Dummy_Variables!D62+Multiple_Regression!$B$13*Dummy_Variables!E62+Multiple_Regression!$B$14*Dummy_Variables!F62</f>
        <v>682684.718208299</v>
      </c>
      <c r="G62" s="22" t="n">
        <f aca="false">E62-F62</f>
        <v>-65393.5682082986</v>
      </c>
    </row>
    <row r="63" customFormat="false" ht="15" hidden="false" customHeight="true" outlineLevel="0" collapsed="false">
      <c r="A63" s="9" t="str">
        <f aca="false">Cleaned_Prepared_Data!A63</f>
        <v>STR-1015</v>
      </c>
      <c r="B63" s="10" t="n">
        <f aca="false">Cleaned_Prepared_Data!B63</f>
        <v>45748</v>
      </c>
      <c r="C63" s="9" t="str">
        <f aca="false">Cleaned_Prepared_Data!C63</f>
        <v>East</v>
      </c>
      <c r="D63" s="9" t="str">
        <f aca="false">Cleaned_Prepared_Data!D63</f>
        <v>Airport</v>
      </c>
      <c r="E63" s="9" t="n">
        <f aca="false">Cleaned_Prepared_Data!M63</f>
        <v>553756.43</v>
      </c>
      <c r="F63" s="22" t="n">
        <f aca="false">Multiple_Regression!$B$6+Multiple_Regression!$B$7*Cleaned_Prepared_Data!F63+Multiple_Regression!$B$8*Cleaned_Prepared_Data!E63+Multiple_Regression!$B$9*Cleaned_Prepared_Data!I63+Multiple_Regression!$B$10*Cleaned_Prepared_Data!H63+Multiple_Regression!$B$11*Cleaned_Prepared_Data!G63+Multiple_Regression!$B$12*Dummy_Variables!D63+Multiple_Regression!$B$13*Dummy_Variables!E63+Multiple_Regression!$B$14*Dummy_Variables!F63</f>
        <v>632037.470026836</v>
      </c>
      <c r="G63" s="22" t="n">
        <f aca="false">E63-F63</f>
        <v>-78281.040026836</v>
      </c>
    </row>
    <row r="64" customFormat="false" ht="15" hidden="false" customHeight="true" outlineLevel="0" collapsed="false">
      <c r="A64" s="9" t="str">
        <f aca="false">Cleaned_Prepared_Data!A64</f>
        <v>STR-1016</v>
      </c>
      <c r="B64" s="10" t="n">
        <f aca="false">Cleaned_Prepared_Data!B64</f>
        <v>45658</v>
      </c>
      <c r="C64" s="9" t="str">
        <f aca="false">Cleaned_Prepared_Data!C64</f>
        <v>South</v>
      </c>
      <c r="D64" s="9" t="str">
        <f aca="false">Cleaned_Prepared_Data!D64</f>
        <v>High Street</v>
      </c>
      <c r="E64" s="9" t="n">
        <f aca="false">Cleaned_Prepared_Data!M64</f>
        <v>749559.71</v>
      </c>
      <c r="F64" s="22" t="n">
        <f aca="false">Multiple_Regression!$B$6+Multiple_Regression!$B$7*Cleaned_Prepared_Data!F64+Multiple_Regression!$B$8*Cleaned_Prepared_Data!E64+Multiple_Regression!$B$9*Cleaned_Prepared_Data!I64+Multiple_Regression!$B$10*Cleaned_Prepared_Data!H64+Multiple_Regression!$B$11*Cleaned_Prepared_Data!G64+Multiple_Regression!$B$12*Dummy_Variables!D64+Multiple_Regression!$B$13*Dummy_Variables!E64+Multiple_Regression!$B$14*Dummy_Variables!F64</f>
        <v>689775.977000291</v>
      </c>
      <c r="G64" s="22" t="n">
        <f aca="false">E64-F64</f>
        <v>59783.7329997093</v>
      </c>
    </row>
    <row r="65" customFormat="false" ht="15" hidden="false" customHeight="true" outlineLevel="0" collapsed="false">
      <c r="A65" s="9" t="str">
        <f aca="false">Cleaned_Prepared_Data!A65</f>
        <v>STR-1016</v>
      </c>
      <c r="B65" s="10" t="n">
        <f aca="false">Cleaned_Prepared_Data!B65</f>
        <v>45689</v>
      </c>
      <c r="C65" s="9" t="str">
        <f aca="false">Cleaned_Prepared_Data!C65</f>
        <v>South</v>
      </c>
      <c r="D65" s="9" t="str">
        <f aca="false">Cleaned_Prepared_Data!D65</f>
        <v>High Street</v>
      </c>
      <c r="E65" s="9" t="n">
        <f aca="false">Cleaned_Prepared_Data!M65</f>
        <v>615966.48</v>
      </c>
      <c r="F65" s="22" t="n">
        <f aca="false">Multiple_Regression!$B$6+Multiple_Regression!$B$7*Cleaned_Prepared_Data!F65+Multiple_Regression!$B$8*Cleaned_Prepared_Data!E65+Multiple_Regression!$B$9*Cleaned_Prepared_Data!I65+Multiple_Regression!$B$10*Cleaned_Prepared_Data!H65+Multiple_Regression!$B$11*Cleaned_Prepared_Data!G65+Multiple_Regression!$B$12*Dummy_Variables!D65+Multiple_Regression!$B$13*Dummy_Variables!E65+Multiple_Regression!$B$14*Dummy_Variables!F65</f>
        <v>569398.273915389</v>
      </c>
      <c r="G65" s="22" t="n">
        <f aca="false">E65-F65</f>
        <v>46568.2060846115</v>
      </c>
    </row>
    <row r="66" customFormat="false" ht="15" hidden="false" customHeight="true" outlineLevel="0" collapsed="false">
      <c r="A66" s="9" t="str">
        <f aca="false">Cleaned_Prepared_Data!A66</f>
        <v>STR-1016</v>
      </c>
      <c r="B66" s="10" t="n">
        <f aca="false">Cleaned_Prepared_Data!B66</f>
        <v>45717</v>
      </c>
      <c r="C66" s="9" t="str">
        <f aca="false">Cleaned_Prepared_Data!C66</f>
        <v>South</v>
      </c>
      <c r="D66" s="9" t="str">
        <f aca="false">Cleaned_Prepared_Data!D66</f>
        <v>High Street</v>
      </c>
      <c r="E66" s="9" t="n">
        <f aca="false">Cleaned_Prepared_Data!M66</f>
        <v>572011.2</v>
      </c>
      <c r="F66" s="22" t="n">
        <f aca="false">Multiple_Regression!$B$6+Multiple_Regression!$B$7*Cleaned_Prepared_Data!F66+Multiple_Regression!$B$8*Cleaned_Prepared_Data!E66+Multiple_Regression!$B$9*Cleaned_Prepared_Data!I66+Multiple_Regression!$B$10*Cleaned_Prepared_Data!H66+Multiple_Regression!$B$11*Cleaned_Prepared_Data!G66+Multiple_Regression!$B$12*Dummy_Variables!D66+Multiple_Regression!$B$13*Dummy_Variables!E66+Multiple_Regression!$B$14*Dummy_Variables!F66</f>
        <v>577979.318958832</v>
      </c>
      <c r="G66" s="22" t="n">
        <f aca="false">E66-F66</f>
        <v>-5968.11895883223</v>
      </c>
    </row>
    <row r="67" customFormat="false" ht="15" hidden="false" customHeight="true" outlineLevel="0" collapsed="false">
      <c r="A67" s="9" t="str">
        <f aca="false">Cleaned_Prepared_Data!A67</f>
        <v>STR-1016</v>
      </c>
      <c r="B67" s="10" t="n">
        <f aca="false">Cleaned_Prepared_Data!B67</f>
        <v>45748</v>
      </c>
      <c r="C67" s="9" t="str">
        <f aca="false">Cleaned_Prepared_Data!C67</f>
        <v>South</v>
      </c>
      <c r="D67" s="9" t="str">
        <f aca="false">Cleaned_Prepared_Data!D67</f>
        <v>High Street</v>
      </c>
      <c r="E67" s="9" t="n">
        <f aca="false">Cleaned_Prepared_Data!M67</f>
        <v>761860.19</v>
      </c>
      <c r="F67" s="22" t="n">
        <f aca="false">Multiple_Regression!$B$6+Multiple_Regression!$B$7*Cleaned_Prepared_Data!F67+Multiple_Regression!$B$8*Cleaned_Prepared_Data!E67+Multiple_Regression!$B$9*Cleaned_Prepared_Data!I67+Multiple_Regression!$B$10*Cleaned_Prepared_Data!H67+Multiple_Regression!$B$11*Cleaned_Prepared_Data!G67+Multiple_Regression!$B$12*Dummy_Variables!D67+Multiple_Regression!$B$13*Dummy_Variables!E67+Multiple_Regression!$B$14*Dummy_Variables!F67</f>
        <v>717951.733231603</v>
      </c>
      <c r="G67" s="22" t="n">
        <f aca="false">E67-F67</f>
        <v>43908.456768397</v>
      </c>
    </row>
    <row r="68" customFormat="false" ht="15" hidden="false" customHeight="true" outlineLevel="0" collapsed="false">
      <c r="A68" s="9" t="str">
        <f aca="false">Cleaned_Prepared_Data!A68</f>
        <v>STR-1017</v>
      </c>
      <c r="B68" s="10" t="n">
        <f aca="false">Cleaned_Prepared_Data!B68</f>
        <v>45658</v>
      </c>
      <c r="C68" s="9" t="str">
        <f aca="false">Cleaned_Prepared_Data!C68</f>
        <v>West</v>
      </c>
      <c r="D68" s="9" t="str">
        <f aca="false">Cleaned_Prepared_Data!D68</f>
        <v>High Street</v>
      </c>
      <c r="E68" s="9" t="n">
        <f aca="false">Cleaned_Prepared_Data!M68</f>
        <v>784502.68</v>
      </c>
      <c r="F68" s="22" t="n">
        <f aca="false">Multiple_Regression!$B$6+Multiple_Regression!$B$7*Cleaned_Prepared_Data!F68+Multiple_Regression!$B$8*Cleaned_Prepared_Data!E68+Multiple_Regression!$B$9*Cleaned_Prepared_Data!I68+Multiple_Regression!$B$10*Cleaned_Prepared_Data!H68+Multiple_Regression!$B$11*Cleaned_Prepared_Data!G68+Multiple_Regression!$B$12*Dummy_Variables!D68+Multiple_Regression!$B$13*Dummy_Variables!E68+Multiple_Regression!$B$14*Dummy_Variables!F68</f>
        <v>810378.546897238</v>
      </c>
      <c r="G68" s="22" t="n">
        <f aca="false">E68-F68</f>
        <v>-25875.8668972378</v>
      </c>
    </row>
    <row r="69" customFormat="false" ht="15" hidden="false" customHeight="true" outlineLevel="0" collapsed="false">
      <c r="A69" s="9" t="str">
        <f aca="false">Cleaned_Prepared_Data!A69</f>
        <v>STR-1017</v>
      </c>
      <c r="B69" s="10" t="n">
        <f aca="false">Cleaned_Prepared_Data!B69</f>
        <v>45689</v>
      </c>
      <c r="C69" s="9" t="str">
        <f aca="false">Cleaned_Prepared_Data!C69</f>
        <v>West</v>
      </c>
      <c r="D69" s="9" t="str">
        <f aca="false">Cleaned_Prepared_Data!D69</f>
        <v>High Street</v>
      </c>
      <c r="E69" s="9" t="n">
        <f aca="false">Cleaned_Prepared_Data!M69</f>
        <v>717141.55</v>
      </c>
      <c r="F69" s="22" t="n">
        <f aca="false">Multiple_Regression!$B$6+Multiple_Regression!$B$7*Cleaned_Prepared_Data!F69+Multiple_Regression!$B$8*Cleaned_Prepared_Data!E69+Multiple_Regression!$B$9*Cleaned_Prepared_Data!I69+Multiple_Regression!$B$10*Cleaned_Prepared_Data!H69+Multiple_Regression!$B$11*Cleaned_Prepared_Data!G69+Multiple_Regression!$B$12*Dummy_Variables!D69+Multiple_Regression!$B$13*Dummy_Variables!E69+Multiple_Regression!$B$14*Dummy_Variables!F69</f>
        <v>731680.046942394</v>
      </c>
      <c r="G69" s="22" t="n">
        <f aca="false">E69-F69</f>
        <v>-14538.4969423937</v>
      </c>
    </row>
    <row r="70" customFormat="false" ht="15" hidden="false" customHeight="true" outlineLevel="0" collapsed="false">
      <c r="A70" s="9" t="str">
        <f aca="false">Cleaned_Prepared_Data!A70</f>
        <v>STR-1017</v>
      </c>
      <c r="B70" s="10" t="n">
        <f aca="false">Cleaned_Prepared_Data!B70</f>
        <v>45717</v>
      </c>
      <c r="C70" s="9" t="str">
        <f aca="false">Cleaned_Prepared_Data!C70</f>
        <v>West</v>
      </c>
      <c r="D70" s="9" t="str">
        <f aca="false">Cleaned_Prepared_Data!D70</f>
        <v>High Street</v>
      </c>
      <c r="E70" s="9" t="n">
        <f aca="false">Cleaned_Prepared_Data!M70</f>
        <v>685379.08</v>
      </c>
      <c r="F70" s="22" t="n">
        <f aca="false">Multiple_Regression!$B$6+Multiple_Regression!$B$7*Cleaned_Prepared_Data!F70+Multiple_Regression!$B$8*Cleaned_Prepared_Data!E70+Multiple_Regression!$B$9*Cleaned_Prepared_Data!I70+Multiple_Regression!$B$10*Cleaned_Prepared_Data!H70+Multiple_Regression!$B$11*Cleaned_Prepared_Data!G70+Multiple_Regression!$B$12*Dummy_Variables!D70+Multiple_Regression!$B$13*Dummy_Variables!E70+Multiple_Regression!$B$14*Dummy_Variables!F70</f>
        <v>837467.818280657</v>
      </c>
      <c r="G70" s="22" t="n">
        <f aca="false">E70-F70</f>
        <v>-152088.738280657</v>
      </c>
    </row>
    <row r="71" customFormat="false" ht="15" hidden="false" customHeight="true" outlineLevel="0" collapsed="false">
      <c r="A71" s="9" t="str">
        <f aca="false">Cleaned_Prepared_Data!A71</f>
        <v>STR-1017</v>
      </c>
      <c r="B71" s="10" t="n">
        <f aca="false">Cleaned_Prepared_Data!B71</f>
        <v>45748</v>
      </c>
      <c r="C71" s="9" t="str">
        <f aca="false">Cleaned_Prepared_Data!C71</f>
        <v>West</v>
      </c>
      <c r="D71" s="9" t="str">
        <f aca="false">Cleaned_Prepared_Data!D71</f>
        <v>High Street</v>
      </c>
      <c r="E71" s="9" t="n">
        <f aca="false">Cleaned_Prepared_Data!M71</f>
        <v>740496.65</v>
      </c>
      <c r="F71" s="22" t="n">
        <f aca="false">Multiple_Regression!$B$6+Multiple_Regression!$B$7*Cleaned_Prepared_Data!F71+Multiple_Regression!$B$8*Cleaned_Prepared_Data!E71+Multiple_Regression!$B$9*Cleaned_Prepared_Data!I71+Multiple_Regression!$B$10*Cleaned_Prepared_Data!H71+Multiple_Regression!$B$11*Cleaned_Prepared_Data!G71+Multiple_Regression!$B$12*Dummy_Variables!D71+Multiple_Regression!$B$13*Dummy_Variables!E71+Multiple_Regression!$B$14*Dummy_Variables!F71</f>
        <v>726817.272721113</v>
      </c>
      <c r="G71" s="22" t="n">
        <f aca="false">E71-F71</f>
        <v>13679.3772788867</v>
      </c>
    </row>
    <row r="72" customFormat="false" ht="15" hidden="false" customHeight="true" outlineLevel="0" collapsed="false">
      <c r="A72" s="9" t="str">
        <f aca="false">Cleaned_Prepared_Data!A72</f>
        <v>STR-1018</v>
      </c>
      <c r="B72" s="10" t="n">
        <f aca="false">Cleaned_Prepared_Data!B72</f>
        <v>45658</v>
      </c>
      <c r="C72" s="9" t="str">
        <f aca="false">Cleaned_Prepared_Data!C72</f>
        <v>East</v>
      </c>
      <c r="D72" s="9" t="str">
        <f aca="false">Cleaned_Prepared_Data!D72</f>
        <v>High Street</v>
      </c>
      <c r="E72" s="9" t="n">
        <f aca="false">Cleaned_Prepared_Data!M72</f>
        <v>661927.14</v>
      </c>
      <c r="F72" s="22" t="n">
        <f aca="false">Multiple_Regression!$B$6+Multiple_Regression!$B$7*Cleaned_Prepared_Data!F72+Multiple_Regression!$B$8*Cleaned_Prepared_Data!E72+Multiple_Regression!$B$9*Cleaned_Prepared_Data!I72+Multiple_Regression!$B$10*Cleaned_Prepared_Data!H72+Multiple_Regression!$B$11*Cleaned_Prepared_Data!G72+Multiple_Regression!$B$12*Dummy_Variables!D72+Multiple_Regression!$B$13*Dummy_Variables!E72+Multiple_Regression!$B$14*Dummy_Variables!F72</f>
        <v>598800.057662187</v>
      </c>
      <c r="G72" s="22" t="n">
        <f aca="false">E72-F72</f>
        <v>63127.0823378126</v>
      </c>
    </row>
    <row r="73" customFormat="false" ht="15" hidden="false" customHeight="true" outlineLevel="0" collapsed="false">
      <c r="A73" s="9" t="str">
        <f aca="false">Cleaned_Prepared_Data!A73</f>
        <v>STR-1018</v>
      </c>
      <c r="B73" s="10" t="n">
        <f aca="false">Cleaned_Prepared_Data!B73</f>
        <v>45689</v>
      </c>
      <c r="C73" s="9" t="str">
        <f aca="false">Cleaned_Prepared_Data!C73</f>
        <v>East</v>
      </c>
      <c r="D73" s="9" t="str">
        <f aca="false">Cleaned_Prepared_Data!D73</f>
        <v>High Street</v>
      </c>
      <c r="E73" s="9" t="n">
        <f aca="false">Cleaned_Prepared_Data!M73</f>
        <v>479050.5</v>
      </c>
      <c r="F73" s="22" t="n">
        <f aca="false">Multiple_Regression!$B$6+Multiple_Regression!$B$7*Cleaned_Prepared_Data!F73+Multiple_Regression!$B$8*Cleaned_Prepared_Data!E73+Multiple_Regression!$B$9*Cleaned_Prepared_Data!I73+Multiple_Regression!$B$10*Cleaned_Prepared_Data!H73+Multiple_Regression!$B$11*Cleaned_Prepared_Data!G73+Multiple_Regression!$B$12*Dummy_Variables!D73+Multiple_Regression!$B$13*Dummy_Variables!E73+Multiple_Regression!$B$14*Dummy_Variables!F73</f>
        <v>514500.253348643</v>
      </c>
      <c r="G73" s="22" t="n">
        <f aca="false">E73-F73</f>
        <v>-35449.7533486434</v>
      </c>
    </row>
    <row r="74" customFormat="false" ht="15" hidden="false" customHeight="true" outlineLevel="0" collapsed="false">
      <c r="A74" s="9" t="str">
        <f aca="false">Cleaned_Prepared_Data!A74</f>
        <v>STR-1018</v>
      </c>
      <c r="B74" s="10" t="n">
        <f aca="false">Cleaned_Prepared_Data!B74</f>
        <v>45717</v>
      </c>
      <c r="C74" s="9" t="str">
        <f aca="false">Cleaned_Prepared_Data!C74</f>
        <v>East</v>
      </c>
      <c r="D74" s="9" t="str">
        <f aca="false">Cleaned_Prepared_Data!D74</f>
        <v>High Street</v>
      </c>
      <c r="E74" s="9" t="n">
        <f aca="false">Cleaned_Prepared_Data!M74</f>
        <v>605023.87</v>
      </c>
      <c r="F74" s="22" t="n">
        <f aca="false">Multiple_Regression!$B$6+Multiple_Regression!$B$7*Cleaned_Prepared_Data!F74+Multiple_Regression!$B$8*Cleaned_Prepared_Data!E74+Multiple_Regression!$B$9*Cleaned_Prepared_Data!I74+Multiple_Regression!$B$10*Cleaned_Prepared_Data!H74+Multiple_Regression!$B$11*Cleaned_Prepared_Data!G74+Multiple_Regression!$B$12*Dummy_Variables!D74+Multiple_Regression!$B$13*Dummy_Variables!E74+Multiple_Regression!$B$14*Dummy_Variables!F74</f>
        <v>590167.459135847</v>
      </c>
      <c r="G74" s="22" t="n">
        <f aca="false">E74-F74</f>
        <v>14856.4108641528</v>
      </c>
    </row>
    <row r="75" customFormat="false" ht="15" hidden="false" customHeight="true" outlineLevel="0" collapsed="false">
      <c r="A75" s="9" t="str">
        <f aca="false">Cleaned_Prepared_Data!A75</f>
        <v>STR-1019</v>
      </c>
      <c r="B75" s="10" t="n">
        <f aca="false">Cleaned_Prepared_Data!B75</f>
        <v>45658</v>
      </c>
      <c r="C75" s="9" t="str">
        <f aca="false">Cleaned_Prepared_Data!C75</f>
        <v>East</v>
      </c>
      <c r="D75" s="9" t="str">
        <f aca="false">Cleaned_Prepared_Data!D75</f>
        <v>Residential</v>
      </c>
      <c r="E75" s="9" t="n">
        <f aca="false">Cleaned_Prepared_Data!M75</f>
        <v>616069.41</v>
      </c>
      <c r="F75" s="22" t="n">
        <f aca="false">Multiple_Regression!$B$6+Multiple_Regression!$B$7*Cleaned_Prepared_Data!F75+Multiple_Regression!$B$8*Cleaned_Prepared_Data!E75+Multiple_Regression!$B$9*Cleaned_Prepared_Data!I75+Multiple_Regression!$B$10*Cleaned_Prepared_Data!H75+Multiple_Regression!$B$11*Cleaned_Prepared_Data!G75+Multiple_Regression!$B$12*Dummy_Variables!D75+Multiple_Regression!$B$13*Dummy_Variables!E75+Multiple_Regression!$B$14*Dummy_Variables!F75</f>
        <v>590731.452694123</v>
      </c>
      <c r="G75" s="22" t="n">
        <f aca="false">E75-F75</f>
        <v>25337.9573058771</v>
      </c>
    </row>
    <row r="76" customFormat="false" ht="15" hidden="false" customHeight="true" outlineLevel="0" collapsed="false">
      <c r="A76" s="9" t="str">
        <f aca="false">Cleaned_Prepared_Data!A76</f>
        <v>STR-1019</v>
      </c>
      <c r="B76" s="10" t="n">
        <f aca="false">Cleaned_Prepared_Data!B76</f>
        <v>45689</v>
      </c>
      <c r="C76" s="9" t="str">
        <f aca="false">Cleaned_Prepared_Data!C76</f>
        <v>East</v>
      </c>
      <c r="D76" s="9" t="str">
        <f aca="false">Cleaned_Prepared_Data!D76</f>
        <v>Residential</v>
      </c>
      <c r="E76" s="9" t="n">
        <f aca="false">Cleaned_Prepared_Data!M76</f>
        <v>630829.94</v>
      </c>
      <c r="F76" s="22" t="n">
        <f aca="false">Multiple_Regression!$B$6+Multiple_Regression!$B$7*Cleaned_Prepared_Data!F76+Multiple_Regression!$B$8*Cleaned_Prepared_Data!E76+Multiple_Regression!$B$9*Cleaned_Prepared_Data!I76+Multiple_Regression!$B$10*Cleaned_Prepared_Data!H76+Multiple_Regression!$B$11*Cleaned_Prepared_Data!G76+Multiple_Regression!$B$12*Dummy_Variables!D76+Multiple_Regression!$B$13*Dummy_Variables!E76+Multiple_Regression!$B$14*Dummy_Variables!F76</f>
        <v>698876.24350308</v>
      </c>
      <c r="G76" s="22" t="n">
        <f aca="false">E76-F76</f>
        <v>-68046.3035030797</v>
      </c>
    </row>
    <row r="77" customFormat="false" ht="15" hidden="false" customHeight="true" outlineLevel="0" collapsed="false">
      <c r="A77" s="9" t="str">
        <f aca="false">Cleaned_Prepared_Data!A77</f>
        <v>STR-1019</v>
      </c>
      <c r="B77" s="10" t="n">
        <f aca="false">Cleaned_Prepared_Data!B77</f>
        <v>45717</v>
      </c>
      <c r="C77" s="9" t="str">
        <f aca="false">Cleaned_Prepared_Data!C77</f>
        <v>East</v>
      </c>
      <c r="D77" s="9" t="str">
        <f aca="false">Cleaned_Prepared_Data!D77</f>
        <v>Residential</v>
      </c>
      <c r="E77" s="9" t="n">
        <f aca="false">Cleaned_Prepared_Data!M77</f>
        <v>788087.68</v>
      </c>
      <c r="F77" s="22" t="n">
        <f aca="false">Multiple_Regression!$B$6+Multiple_Regression!$B$7*Cleaned_Prepared_Data!F77+Multiple_Regression!$B$8*Cleaned_Prepared_Data!E77+Multiple_Regression!$B$9*Cleaned_Prepared_Data!I77+Multiple_Regression!$B$10*Cleaned_Prepared_Data!H77+Multiple_Regression!$B$11*Cleaned_Prepared_Data!G77+Multiple_Regression!$B$12*Dummy_Variables!D77+Multiple_Regression!$B$13*Dummy_Variables!E77+Multiple_Regression!$B$14*Dummy_Variables!F77</f>
        <v>709227.491495651</v>
      </c>
      <c r="G77" s="22" t="n">
        <f aca="false">E77-F77</f>
        <v>78860.1885043493</v>
      </c>
    </row>
    <row r="78" customFormat="false" ht="15" hidden="false" customHeight="true" outlineLevel="0" collapsed="false">
      <c r="A78" s="9" t="str">
        <f aca="false">Cleaned_Prepared_Data!A78</f>
        <v>STR-1019</v>
      </c>
      <c r="B78" s="10" t="n">
        <f aca="false">Cleaned_Prepared_Data!B78</f>
        <v>45748</v>
      </c>
      <c r="C78" s="9" t="str">
        <f aca="false">Cleaned_Prepared_Data!C78</f>
        <v>East</v>
      </c>
      <c r="D78" s="9" t="str">
        <f aca="false">Cleaned_Prepared_Data!D78</f>
        <v>Residential</v>
      </c>
      <c r="E78" s="9" t="n">
        <f aca="false">Cleaned_Prepared_Data!M78</f>
        <v>680840.36</v>
      </c>
      <c r="F78" s="22" t="n">
        <f aca="false">Multiple_Regression!$B$6+Multiple_Regression!$B$7*Cleaned_Prepared_Data!F78+Multiple_Regression!$B$8*Cleaned_Prepared_Data!E78+Multiple_Regression!$B$9*Cleaned_Prepared_Data!I78+Multiple_Regression!$B$10*Cleaned_Prepared_Data!H78+Multiple_Regression!$B$11*Cleaned_Prepared_Data!G78+Multiple_Regression!$B$12*Dummy_Variables!D78+Multiple_Regression!$B$13*Dummy_Variables!E78+Multiple_Regression!$B$14*Dummy_Variables!F78</f>
        <v>713741.427751081</v>
      </c>
      <c r="G78" s="22" t="n">
        <f aca="false">E78-F78</f>
        <v>-32901.0677510805</v>
      </c>
    </row>
    <row r="79" customFormat="false" ht="15" hidden="false" customHeight="true" outlineLevel="0" collapsed="false">
      <c r="A79" s="9" t="str">
        <f aca="false">Cleaned_Prepared_Data!A79</f>
        <v>STR-1020</v>
      </c>
      <c r="B79" s="10" t="n">
        <f aca="false">Cleaned_Prepared_Data!B79</f>
        <v>45658</v>
      </c>
      <c r="C79" s="9" t="str">
        <f aca="false">Cleaned_Prepared_Data!C79</f>
        <v>South</v>
      </c>
      <c r="D79" s="9" t="str">
        <f aca="false">Cleaned_Prepared_Data!D79</f>
        <v>High Street</v>
      </c>
      <c r="E79" s="9" t="n">
        <f aca="false">Cleaned_Prepared_Data!M79</f>
        <v>643657.47</v>
      </c>
      <c r="F79" s="22" t="n">
        <f aca="false">Multiple_Regression!$B$6+Multiple_Regression!$B$7*Cleaned_Prepared_Data!F79+Multiple_Regression!$B$8*Cleaned_Prepared_Data!E79+Multiple_Regression!$B$9*Cleaned_Prepared_Data!I79+Multiple_Regression!$B$10*Cleaned_Prepared_Data!H79+Multiple_Regression!$B$11*Cleaned_Prepared_Data!G79+Multiple_Regression!$B$12*Dummy_Variables!D79+Multiple_Regression!$B$13*Dummy_Variables!E79+Multiple_Regression!$B$14*Dummy_Variables!F79</f>
        <v>652170.491165111</v>
      </c>
      <c r="G79" s="22" t="n">
        <f aca="false">E79-F79</f>
        <v>-8513.02116511075</v>
      </c>
    </row>
    <row r="80" customFormat="false" ht="15" hidden="false" customHeight="true" outlineLevel="0" collapsed="false">
      <c r="A80" s="9" t="str">
        <f aca="false">Cleaned_Prepared_Data!A80</f>
        <v>STR-1020</v>
      </c>
      <c r="B80" s="10" t="n">
        <f aca="false">Cleaned_Prepared_Data!B80</f>
        <v>45689</v>
      </c>
      <c r="C80" s="9" t="str">
        <f aca="false">Cleaned_Prepared_Data!C80</f>
        <v>South</v>
      </c>
      <c r="D80" s="9" t="str">
        <f aca="false">Cleaned_Prepared_Data!D80</f>
        <v>High Street</v>
      </c>
      <c r="E80" s="9" t="n">
        <f aca="false">Cleaned_Prepared_Data!M80</f>
        <v>691112.6</v>
      </c>
      <c r="F80" s="22" t="n">
        <f aca="false">Multiple_Regression!$B$6+Multiple_Regression!$B$7*Cleaned_Prepared_Data!F80+Multiple_Regression!$B$8*Cleaned_Prepared_Data!E80+Multiple_Regression!$B$9*Cleaned_Prepared_Data!I80+Multiple_Regression!$B$10*Cleaned_Prepared_Data!H80+Multiple_Regression!$B$11*Cleaned_Prepared_Data!G80+Multiple_Regression!$B$12*Dummy_Variables!D80+Multiple_Regression!$B$13*Dummy_Variables!E80+Multiple_Regression!$B$14*Dummy_Variables!F80</f>
        <v>645600.969441142</v>
      </c>
      <c r="G80" s="22" t="n">
        <f aca="false">E80-F80</f>
        <v>45511.6305588579</v>
      </c>
    </row>
    <row r="81" customFormat="false" ht="15" hidden="false" customHeight="true" outlineLevel="0" collapsed="false">
      <c r="A81" s="9" t="str">
        <f aca="false">Cleaned_Prepared_Data!A81</f>
        <v>STR-1020</v>
      </c>
      <c r="B81" s="10" t="n">
        <f aca="false">Cleaned_Prepared_Data!B81</f>
        <v>45717</v>
      </c>
      <c r="C81" s="9" t="str">
        <f aca="false">Cleaned_Prepared_Data!C81</f>
        <v>South</v>
      </c>
      <c r="D81" s="9" t="str">
        <f aca="false">Cleaned_Prepared_Data!D81</f>
        <v>High Street</v>
      </c>
      <c r="E81" s="9" t="n">
        <f aca="false">Cleaned_Prepared_Data!M81</f>
        <v>776922.17</v>
      </c>
      <c r="F81" s="22" t="n">
        <f aca="false">Multiple_Regression!$B$6+Multiple_Regression!$B$7*Cleaned_Prepared_Data!F81+Multiple_Regression!$B$8*Cleaned_Prepared_Data!E81+Multiple_Regression!$B$9*Cleaned_Prepared_Data!I81+Multiple_Regression!$B$10*Cleaned_Prepared_Data!H81+Multiple_Regression!$B$11*Cleaned_Prepared_Data!G81+Multiple_Regression!$B$12*Dummy_Variables!D81+Multiple_Regression!$B$13*Dummy_Variables!E81+Multiple_Regression!$B$14*Dummy_Variables!F81</f>
        <v>717659.224076396</v>
      </c>
      <c r="G81" s="22" t="n">
        <f aca="false">E81-F81</f>
        <v>59262.9459236044</v>
      </c>
    </row>
    <row r="82" customFormat="false" ht="15" hidden="false" customHeight="true" outlineLevel="0" collapsed="false">
      <c r="A82" s="9" t="str">
        <f aca="false">Cleaned_Prepared_Data!A82</f>
        <v>STR-1020</v>
      </c>
      <c r="B82" s="10" t="n">
        <f aca="false">Cleaned_Prepared_Data!B82</f>
        <v>45748</v>
      </c>
      <c r="C82" s="9" t="str">
        <f aca="false">Cleaned_Prepared_Data!C82</f>
        <v>South</v>
      </c>
      <c r="D82" s="9" t="str">
        <f aca="false">Cleaned_Prepared_Data!D82</f>
        <v>High Street</v>
      </c>
      <c r="E82" s="9" t="n">
        <f aca="false">Cleaned_Prepared_Data!M82</f>
        <v>636561.34</v>
      </c>
      <c r="F82" s="22" t="n">
        <f aca="false">Multiple_Regression!$B$6+Multiple_Regression!$B$7*Cleaned_Prepared_Data!F82+Multiple_Regression!$B$8*Cleaned_Prepared_Data!E82+Multiple_Regression!$B$9*Cleaned_Prepared_Data!I82+Multiple_Regression!$B$10*Cleaned_Prepared_Data!H82+Multiple_Regression!$B$11*Cleaned_Prepared_Data!G82+Multiple_Regression!$B$12*Dummy_Variables!D82+Multiple_Regression!$B$13*Dummy_Variables!E82+Multiple_Regression!$B$14*Dummy_Variables!F82</f>
        <v>655367.211248433</v>
      </c>
      <c r="G82" s="22" t="n">
        <f aca="false">E82-F82</f>
        <v>-18805.871248433</v>
      </c>
    </row>
    <row r="83" customFormat="false" ht="15" hidden="false" customHeight="true" outlineLevel="0" collapsed="false">
      <c r="A83" s="9" t="str">
        <f aca="false">Cleaned_Prepared_Data!A83</f>
        <v>STR-1021</v>
      </c>
      <c r="B83" s="10" t="n">
        <f aca="false">Cleaned_Prepared_Data!B83</f>
        <v>45658</v>
      </c>
      <c r="C83" s="9" t="str">
        <f aca="false">Cleaned_Prepared_Data!C83</f>
        <v>West</v>
      </c>
      <c r="D83" s="9" t="str">
        <f aca="false">Cleaned_Prepared_Data!D83</f>
        <v>Mall</v>
      </c>
      <c r="E83" s="9" t="n">
        <f aca="false">Cleaned_Prepared_Data!M83</f>
        <v>621369.58</v>
      </c>
      <c r="F83" s="22" t="n">
        <f aca="false">Multiple_Regression!$B$6+Multiple_Regression!$B$7*Cleaned_Prepared_Data!F83+Multiple_Regression!$B$8*Cleaned_Prepared_Data!E83+Multiple_Regression!$B$9*Cleaned_Prepared_Data!I83+Multiple_Regression!$B$10*Cleaned_Prepared_Data!H83+Multiple_Regression!$B$11*Cleaned_Prepared_Data!G83+Multiple_Regression!$B$12*Dummy_Variables!D83+Multiple_Regression!$B$13*Dummy_Variables!E83+Multiple_Regression!$B$14*Dummy_Variables!F83</f>
        <v>645007.722235072</v>
      </c>
      <c r="G83" s="22" t="n">
        <f aca="false">E83-F83</f>
        <v>-23638.1422350719</v>
      </c>
    </row>
    <row r="84" customFormat="false" ht="15" hidden="false" customHeight="true" outlineLevel="0" collapsed="false">
      <c r="A84" s="9" t="str">
        <f aca="false">Cleaned_Prepared_Data!A84</f>
        <v>STR-1021</v>
      </c>
      <c r="B84" s="10" t="n">
        <f aca="false">Cleaned_Prepared_Data!B84</f>
        <v>45689</v>
      </c>
      <c r="C84" s="9" t="str">
        <f aca="false">Cleaned_Prepared_Data!C84</f>
        <v>West</v>
      </c>
      <c r="D84" s="9" t="str">
        <f aca="false">Cleaned_Prepared_Data!D84</f>
        <v>Mall</v>
      </c>
      <c r="E84" s="9" t="n">
        <f aca="false">Cleaned_Prepared_Data!M84</f>
        <v>682208.01</v>
      </c>
      <c r="F84" s="22" t="n">
        <f aca="false">Multiple_Regression!$B$6+Multiple_Regression!$B$7*Cleaned_Prepared_Data!F84+Multiple_Regression!$B$8*Cleaned_Prepared_Data!E84+Multiple_Regression!$B$9*Cleaned_Prepared_Data!I84+Multiple_Regression!$B$10*Cleaned_Prepared_Data!H84+Multiple_Regression!$B$11*Cleaned_Prepared_Data!G84+Multiple_Regression!$B$12*Dummy_Variables!D84+Multiple_Regression!$B$13*Dummy_Variables!E84+Multiple_Regression!$B$14*Dummy_Variables!F84</f>
        <v>624774.640093686</v>
      </c>
      <c r="G84" s="22" t="n">
        <f aca="false">E84-F84</f>
        <v>57433.3699063138</v>
      </c>
    </row>
    <row r="85" customFormat="false" ht="15" hidden="false" customHeight="true" outlineLevel="0" collapsed="false">
      <c r="A85" s="9" t="str">
        <f aca="false">Cleaned_Prepared_Data!A85</f>
        <v>STR-1021</v>
      </c>
      <c r="B85" s="10" t="n">
        <f aca="false">Cleaned_Prepared_Data!B85</f>
        <v>45717</v>
      </c>
      <c r="C85" s="9" t="str">
        <f aca="false">Cleaned_Prepared_Data!C85</f>
        <v>West</v>
      </c>
      <c r="D85" s="9" t="str">
        <f aca="false">Cleaned_Prepared_Data!D85</f>
        <v>Mall</v>
      </c>
      <c r="E85" s="9" t="n">
        <f aca="false">Cleaned_Prepared_Data!M85</f>
        <v>727241.86</v>
      </c>
      <c r="F85" s="22" t="n">
        <f aca="false">Multiple_Regression!$B$6+Multiple_Regression!$B$7*Cleaned_Prepared_Data!F85+Multiple_Regression!$B$8*Cleaned_Prepared_Data!E85+Multiple_Regression!$B$9*Cleaned_Prepared_Data!I85+Multiple_Regression!$B$10*Cleaned_Prepared_Data!H85+Multiple_Regression!$B$11*Cleaned_Prepared_Data!G85+Multiple_Regression!$B$12*Dummy_Variables!D85+Multiple_Regression!$B$13*Dummy_Variables!E85+Multiple_Regression!$B$14*Dummy_Variables!F85</f>
        <v>651199.087512355</v>
      </c>
      <c r="G85" s="22" t="n">
        <f aca="false">E85-F85</f>
        <v>76042.7724876446</v>
      </c>
    </row>
    <row r="86" customFormat="false" ht="15" hidden="false" customHeight="true" outlineLevel="0" collapsed="false">
      <c r="A86" s="9" t="str">
        <f aca="false">Cleaned_Prepared_Data!A86</f>
        <v>STR-1021</v>
      </c>
      <c r="B86" s="10" t="n">
        <f aca="false">Cleaned_Prepared_Data!B86</f>
        <v>45748</v>
      </c>
      <c r="C86" s="9" t="str">
        <f aca="false">Cleaned_Prepared_Data!C86</f>
        <v>West</v>
      </c>
      <c r="D86" s="9" t="str">
        <f aca="false">Cleaned_Prepared_Data!D86</f>
        <v>Mall</v>
      </c>
      <c r="E86" s="9" t="n">
        <f aca="false">Cleaned_Prepared_Data!M86</f>
        <v>569100.78</v>
      </c>
      <c r="F86" s="22" t="n">
        <f aca="false">Multiple_Regression!$B$6+Multiple_Regression!$B$7*Cleaned_Prepared_Data!F86+Multiple_Regression!$B$8*Cleaned_Prepared_Data!E86+Multiple_Regression!$B$9*Cleaned_Prepared_Data!I86+Multiple_Regression!$B$10*Cleaned_Prepared_Data!H86+Multiple_Regression!$B$11*Cleaned_Prepared_Data!G86+Multiple_Regression!$B$12*Dummy_Variables!D86+Multiple_Regression!$B$13*Dummy_Variables!E86+Multiple_Regression!$B$14*Dummy_Variables!F86</f>
        <v>552552.976102876</v>
      </c>
      <c r="G86" s="22" t="n">
        <f aca="false">E86-F86</f>
        <v>16547.8038971239</v>
      </c>
    </row>
    <row r="87" customFormat="false" ht="15" hidden="false" customHeight="true" outlineLevel="0" collapsed="false">
      <c r="A87" s="9" t="str">
        <f aca="false">Cleaned_Prepared_Data!A87</f>
        <v>STR-1022</v>
      </c>
      <c r="B87" s="10" t="n">
        <f aca="false">Cleaned_Prepared_Data!B87</f>
        <v>45658</v>
      </c>
      <c r="C87" s="9" t="str">
        <f aca="false">Cleaned_Prepared_Data!C87</f>
        <v>West</v>
      </c>
      <c r="D87" s="9" t="str">
        <f aca="false">Cleaned_Prepared_Data!D87</f>
        <v>High Street</v>
      </c>
      <c r="E87" s="9" t="n">
        <f aca="false">Cleaned_Prepared_Data!M87</f>
        <v>574436.29</v>
      </c>
      <c r="F87" s="22" t="n">
        <f aca="false">Multiple_Regression!$B$6+Multiple_Regression!$B$7*Cleaned_Prepared_Data!F87+Multiple_Regression!$B$8*Cleaned_Prepared_Data!E87+Multiple_Regression!$B$9*Cleaned_Prepared_Data!I87+Multiple_Regression!$B$10*Cleaned_Prepared_Data!H87+Multiple_Regression!$B$11*Cleaned_Prepared_Data!G87+Multiple_Regression!$B$12*Dummy_Variables!D87+Multiple_Regression!$B$13*Dummy_Variables!E87+Multiple_Regression!$B$14*Dummy_Variables!F87</f>
        <v>547549.493263634</v>
      </c>
      <c r="G87" s="22" t="n">
        <f aca="false">E87-F87</f>
        <v>26886.7967363659</v>
      </c>
    </row>
    <row r="88" customFormat="false" ht="15" hidden="false" customHeight="true" outlineLevel="0" collapsed="false">
      <c r="A88" s="9" t="str">
        <f aca="false">Cleaned_Prepared_Data!A88</f>
        <v>STR-1022</v>
      </c>
      <c r="B88" s="10" t="n">
        <f aca="false">Cleaned_Prepared_Data!B88</f>
        <v>45717</v>
      </c>
      <c r="C88" s="9" t="str">
        <f aca="false">Cleaned_Prepared_Data!C88</f>
        <v>West</v>
      </c>
      <c r="D88" s="9" t="str">
        <f aca="false">Cleaned_Prepared_Data!D88</f>
        <v>High Street</v>
      </c>
      <c r="E88" s="9" t="n">
        <f aca="false">Cleaned_Prepared_Data!M88</f>
        <v>614596.32</v>
      </c>
      <c r="F88" s="22" t="n">
        <f aca="false">Multiple_Regression!$B$6+Multiple_Regression!$B$7*Cleaned_Prepared_Data!F88+Multiple_Regression!$B$8*Cleaned_Prepared_Data!E88+Multiple_Regression!$B$9*Cleaned_Prepared_Data!I88+Multiple_Regression!$B$10*Cleaned_Prepared_Data!H88+Multiple_Regression!$B$11*Cleaned_Prepared_Data!G88+Multiple_Regression!$B$12*Dummy_Variables!D88+Multiple_Regression!$B$13*Dummy_Variables!E88+Multiple_Regression!$B$14*Dummy_Variables!F88</f>
        <v>616325.817475181</v>
      </c>
      <c r="G88" s="22" t="n">
        <f aca="false">E88-F88</f>
        <v>-1729.49747518054</v>
      </c>
    </row>
    <row r="89" customFormat="false" ht="15" hidden="false" customHeight="true" outlineLevel="0" collapsed="false">
      <c r="A89" s="9" t="str">
        <f aca="false">Cleaned_Prepared_Data!A89</f>
        <v>STR-1022</v>
      </c>
      <c r="B89" s="10" t="n">
        <f aca="false">Cleaned_Prepared_Data!B89</f>
        <v>45748</v>
      </c>
      <c r="C89" s="9" t="str">
        <f aca="false">Cleaned_Prepared_Data!C89</f>
        <v>West</v>
      </c>
      <c r="D89" s="9" t="str">
        <f aca="false">Cleaned_Prepared_Data!D89</f>
        <v>High Street</v>
      </c>
      <c r="E89" s="9" t="n">
        <f aca="false">Cleaned_Prepared_Data!M89</f>
        <v>450711.92</v>
      </c>
      <c r="F89" s="22" t="n">
        <f aca="false">Multiple_Regression!$B$6+Multiple_Regression!$B$7*Cleaned_Prepared_Data!F89+Multiple_Regression!$B$8*Cleaned_Prepared_Data!E89+Multiple_Regression!$B$9*Cleaned_Prepared_Data!I89+Multiple_Regression!$B$10*Cleaned_Prepared_Data!H89+Multiple_Regression!$B$11*Cleaned_Prepared_Data!G89+Multiple_Regression!$B$12*Dummy_Variables!D89+Multiple_Regression!$B$13*Dummy_Variables!E89+Multiple_Regression!$B$14*Dummy_Variables!F89</f>
        <v>459117.502705359</v>
      </c>
      <c r="G89" s="22" t="n">
        <f aca="false">E89-F89</f>
        <v>-8405.58270535915</v>
      </c>
    </row>
    <row r="90" customFormat="false" ht="15" hidden="false" customHeight="true" outlineLevel="0" collapsed="false">
      <c r="A90" s="9" t="str">
        <f aca="false">Cleaned_Prepared_Data!A90</f>
        <v>STR-1023</v>
      </c>
      <c r="B90" s="10" t="n">
        <f aca="false">Cleaned_Prepared_Data!B90</f>
        <v>45658</v>
      </c>
      <c r="C90" s="9" t="str">
        <f aca="false">Cleaned_Prepared_Data!C90</f>
        <v>South</v>
      </c>
      <c r="D90" s="9" t="str">
        <f aca="false">Cleaned_Prepared_Data!D90</f>
        <v>Mall</v>
      </c>
      <c r="E90" s="9" t="n">
        <f aca="false">Cleaned_Prepared_Data!M90</f>
        <v>711213.46</v>
      </c>
      <c r="F90" s="22" t="n">
        <f aca="false">Multiple_Regression!$B$6+Multiple_Regression!$B$7*Cleaned_Prepared_Data!F90+Multiple_Regression!$B$8*Cleaned_Prepared_Data!E90+Multiple_Regression!$B$9*Cleaned_Prepared_Data!I90+Multiple_Regression!$B$10*Cleaned_Prepared_Data!H90+Multiple_Regression!$B$11*Cleaned_Prepared_Data!G90+Multiple_Regression!$B$12*Dummy_Variables!D90+Multiple_Regression!$B$13*Dummy_Variables!E90+Multiple_Regression!$B$14*Dummy_Variables!F90</f>
        <v>682852.802222779</v>
      </c>
      <c r="G90" s="22" t="n">
        <f aca="false">E90-F90</f>
        <v>28360.6577772212</v>
      </c>
    </row>
    <row r="91" customFormat="false" ht="15" hidden="false" customHeight="true" outlineLevel="0" collapsed="false">
      <c r="A91" s="9" t="str">
        <f aca="false">Cleaned_Prepared_Data!A91</f>
        <v>STR-1023</v>
      </c>
      <c r="B91" s="10" t="n">
        <f aca="false">Cleaned_Prepared_Data!B91</f>
        <v>45689</v>
      </c>
      <c r="C91" s="9" t="str">
        <f aca="false">Cleaned_Prepared_Data!C91</f>
        <v>South</v>
      </c>
      <c r="D91" s="9" t="str">
        <f aca="false">Cleaned_Prepared_Data!D91</f>
        <v>Mall</v>
      </c>
      <c r="E91" s="9" t="n">
        <f aca="false">Cleaned_Prepared_Data!M91</f>
        <v>627171.9</v>
      </c>
      <c r="F91" s="22" t="n">
        <f aca="false">Multiple_Regression!$B$6+Multiple_Regression!$B$7*Cleaned_Prepared_Data!F91+Multiple_Regression!$B$8*Cleaned_Prepared_Data!E91+Multiple_Regression!$B$9*Cleaned_Prepared_Data!I91+Multiple_Regression!$B$10*Cleaned_Prepared_Data!H91+Multiple_Regression!$B$11*Cleaned_Prepared_Data!G91+Multiple_Regression!$B$12*Dummy_Variables!D91+Multiple_Regression!$B$13*Dummy_Variables!E91+Multiple_Regression!$B$14*Dummy_Variables!F91</f>
        <v>747791.111960078</v>
      </c>
      <c r="G91" s="22" t="n">
        <f aca="false">E91-F91</f>
        <v>-120619.211960078</v>
      </c>
    </row>
    <row r="92" customFormat="false" ht="15" hidden="false" customHeight="true" outlineLevel="0" collapsed="false">
      <c r="A92" s="9" t="str">
        <f aca="false">Cleaned_Prepared_Data!A92</f>
        <v>STR-1023</v>
      </c>
      <c r="B92" s="10" t="n">
        <f aca="false">Cleaned_Prepared_Data!B92</f>
        <v>45717</v>
      </c>
      <c r="C92" s="9" t="str">
        <f aca="false">Cleaned_Prepared_Data!C92</f>
        <v>South</v>
      </c>
      <c r="D92" s="9" t="str">
        <f aca="false">Cleaned_Prepared_Data!D92</f>
        <v>Mall</v>
      </c>
      <c r="E92" s="9" t="n">
        <f aca="false">Cleaned_Prepared_Data!M92</f>
        <v>739852.58</v>
      </c>
      <c r="F92" s="22" t="n">
        <f aca="false">Multiple_Regression!$B$6+Multiple_Regression!$B$7*Cleaned_Prepared_Data!F92+Multiple_Regression!$B$8*Cleaned_Prepared_Data!E92+Multiple_Regression!$B$9*Cleaned_Prepared_Data!I92+Multiple_Regression!$B$10*Cleaned_Prepared_Data!H92+Multiple_Regression!$B$11*Cleaned_Prepared_Data!G92+Multiple_Regression!$B$12*Dummy_Variables!D92+Multiple_Regression!$B$13*Dummy_Variables!E92+Multiple_Regression!$B$14*Dummy_Variables!F92</f>
        <v>722025.086741807</v>
      </c>
      <c r="G92" s="22" t="n">
        <f aca="false">E92-F92</f>
        <v>17827.4932581934</v>
      </c>
    </row>
    <row r="93" customFormat="false" ht="15" hidden="false" customHeight="true" outlineLevel="0" collapsed="false">
      <c r="A93" s="9" t="str">
        <f aca="false">Cleaned_Prepared_Data!A93</f>
        <v>STR-1023</v>
      </c>
      <c r="B93" s="10" t="n">
        <f aca="false">Cleaned_Prepared_Data!B93</f>
        <v>45748</v>
      </c>
      <c r="C93" s="9" t="str">
        <f aca="false">Cleaned_Prepared_Data!C93</f>
        <v>South</v>
      </c>
      <c r="D93" s="9" t="str">
        <f aca="false">Cleaned_Prepared_Data!D93</f>
        <v>Mall</v>
      </c>
      <c r="E93" s="9" t="n">
        <f aca="false">Cleaned_Prepared_Data!M93</f>
        <v>586307.22</v>
      </c>
      <c r="F93" s="22" t="n">
        <f aca="false">Multiple_Regression!$B$6+Multiple_Regression!$B$7*Cleaned_Prepared_Data!F93+Multiple_Regression!$B$8*Cleaned_Prepared_Data!E93+Multiple_Regression!$B$9*Cleaned_Prepared_Data!I93+Multiple_Regression!$B$10*Cleaned_Prepared_Data!H93+Multiple_Regression!$B$11*Cleaned_Prepared_Data!G93+Multiple_Regression!$B$12*Dummy_Variables!D93+Multiple_Regression!$B$13*Dummy_Variables!E93+Multiple_Regression!$B$14*Dummy_Variables!F93</f>
        <v>561055.812956407</v>
      </c>
      <c r="G93" s="22" t="n">
        <f aca="false">E93-F93</f>
        <v>25251.4070435935</v>
      </c>
    </row>
    <row r="94" customFormat="false" ht="15" hidden="false" customHeight="true" outlineLevel="0" collapsed="false">
      <c r="A94" s="9" t="str">
        <f aca="false">Cleaned_Prepared_Data!A94</f>
        <v>STR-1024</v>
      </c>
      <c r="B94" s="10" t="n">
        <f aca="false">Cleaned_Prepared_Data!B94</f>
        <v>45658</v>
      </c>
      <c r="C94" s="9" t="str">
        <f aca="false">Cleaned_Prepared_Data!C94</f>
        <v>West</v>
      </c>
      <c r="D94" s="9" t="str">
        <f aca="false">Cleaned_Prepared_Data!D94</f>
        <v>Residential</v>
      </c>
      <c r="E94" s="9" t="n">
        <f aca="false">Cleaned_Prepared_Data!M94</f>
        <v>585937.48</v>
      </c>
      <c r="F94" s="22" t="n">
        <f aca="false">Multiple_Regression!$B$6+Multiple_Regression!$B$7*Cleaned_Prepared_Data!F94+Multiple_Regression!$B$8*Cleaned_Prepared_Data!E94+Multiple_Regression!$B$9*Cleaned_Prepared_Data!I94+Multiple_Regression!$B$10*Cleaned_Prepared_Data!H94+Multiple_Regression!$B$11*Cleaned_Prepared_Data!G94+Multiple_Regression!$B$12*Dummy_Variables!D94+Multiple_Regression!$B$13*Dummy_Variables!E94+Multiple_Regression!$B$14*Dummy_Variables!F94</f>
        <v>584472.615300283</v>
      </c>
      <c r="G94" s="22" t="n">
        <f aca="false">E94-F94</f>
        <v>1464.86469971749</v>
      </c>
    </row>
    <row r="95" customFormat="false" ht="15" hidden="false" customHeight="true" outlineLevel="0" collapsed="false">
      <c r="A95" s="9" t="str">
        <f aca="false">Cleaned_Prepared_Data!A95</f>
        <v>STR-1024</v>
      </c>
      <c r="B95" s="10" t="n">
        <f aca="false">Cleaned_Prepared_Data!B95</f>
        <v>45689</v>
      </c>
      <c r="C95" s="9" t="str">
        <f aca="false">Cleaned_Prepared_Data!C95</f>
        <v>West</v>
      </c>
      <c r="D95" s="9" t="str">
        <f aca="false">Cleaned_Prepared_Data!D95</f>
        <v>Residential</v>
      </c>
      <c r="E95" s="9" t="n">
        <f aca="false">Cleaned_Prepared_Data!M95</f>
        <v>753473.55</v>
      </c>
      <c r="F95" s="22" t="n">
        <f aca="false">Multiple_Regression!$B$6+Multiple_Regression!$B$7*Cleaned_Prepared_Data!F95+Multiple_Regression!$B$8*Cleaned_Prepared_Data!E95+Multiple_Regression!$B$9*Cleaned_Prepared_Data!I95+Multiple_Regression!$B$10*Cleaned_Prepared_Data!H95+Multiple_Regression!$B$11*Cleaned_Prepared_Data!G95+Multiple_Regression!$B$12*Dummy_Variables!D95+Multiple_Regression!$B$13*Dummy_Variables!E95+Multiple_Regression!$B$14*Dummy_Variables!F95</f>
        <v>689852.006733308</v>
      </c>
      <c r="G95" s="22" t="n">
        <f aca="false">E95-F95</f>
        <v>63621.5432666926</v>
      </c>
    </row>
    <row r="96" customFormat="false" ht="15" hidden="false" customHeight="true" outlineLevel="0" collapsed="false">
      <c r="A96" s="9" t="str">
        <f aca="false">Cleaned_Prepared_Data!A96</f>
        <v>STR-1024</v>
      </c>
      <c r="B96" s="10" t="n">
        <f aca="false">Cleaned_Prepared_Data!B96</f>
        <v>45717</v>
      </c>
      <c r="C96" s="9" t="str">
        <f aca="false">Cleaned_Prepared_Data!C96</f>
        <v>West</v>
      </c>
      <c r="D96" s="9" t="str">
        <f aca="false">Cleaned_Prepared_Data!D96</f>
        <v>Residential</v>
      </c>
      <c r="E96" s="9" t="n">
        <f aca="false">Cleaned_Prepared_Data!M96</f>
        <v>838250.32</v>
      </c>
      <c r="F96" s="22" t="n">
        <f aca="false">Multiple_Regression!$B$6+Multiple_Regression!$B$7*Cleaned_Prepared_Data!F96+Multiple_Regression!$B$8*Cleaned_Prepared_Data!E96+Multiple_Regression!$B$9*Cleaned_Prepared_Data!I96+Multiple_Regression!$B$10*Cleaned_Prepared_Data!H96+Multiple_Regression!$B$11*Cleaned_Prepared_Data!G96+Multiple_Regression!$B$12*Dummy_Variables!D96+Multiple_Regression!$B$13*Dummy_Variables!E96+Multiple_Regression!$B$14*Dummy_Variables!F96</f>
        <v>754277.980742438</v>
      </c>
      <c r="G96" s="22" t="n">
        <f aca="false">E96-F96</f>
        <v>83972.3392575624</v>
      </c>
    </row>
    <row r="97" customFormat="false" ht="15" hidden="false" customHeight="true" outlineLevel="0" collapsed="false">
      <c r="A97" s="9" t="str">
        <f aca="false">Cleaned_Prepared_Data!A97</f>
        <v>STR-1024</v>
      </c>
      <c r="B97" s="10" t="n">
        <f aca="false">Cleaned_Prepared_Data!B97</f>
        <v>45748</v>
      </c>
      <c r="C97" s="9" t="str">
        <f aca="false">Cleaned_Prepared_Data!C97</f>
        <v>West</v>
      </c>
      <c r="D97" s="9" t="str">
        <f aca="false">Cleaned_Prepared_Data!D97</f>
        <v>Residential</v>
      </c>
      <c r="E97" s="9" t="n">
        <f aca="false">Cleaned_Prepared_Data!M97</f>
        <v>607898.12</v>
      </c>
      <c r="F97" s="22" t="n">
        <f aca="false">Multiple_Regression!$B$6+Multiple_Regression!$B$7*Cleaned_Prepared_Data!F97+Multiple_Regression!$B$8*Cleaned_Prepared_Data!E97+Multiple_Regression!$B$9*Cleaned_Prepared_Data!I97+Multiple_Regression!$B$10*Cleaned_Prepared_Data!H97+Multiple_Regression!$B$11*Cleaned_Prepared_Data!G97+Multiple_Regression!$B$12*Dummy_Variables!D97+Multiple_Regression!$B$13*Dummy_Variables!E97+Multiple_Regression!$B$14*Dummy_Variables!F97</f>
        <v>613379.715605999</v>
      </c>
      <c r="G97" s="22" t="n">
        <f aca="false">E97-F97</f>
        <v>-5481.59560599865</v>
      </c>
    </row>
    <row r="98" customFormat="false" ht="15" hidden="false" customHeight="true" outlineLevel="0" collapsed="false">
      <c r="A98" s="9" t="str">
        <f aca="false">Cleaned_Prepared_Data!A98</f>
        <v>STR-1025</v>
      </c>
      <c r="B98" s="10" t="n">
        <f aca="false">Cleaned_Prepared_Data!B98</f>
        <v>45658</v>
      </c>
      <c r="C98" s="9" t="str">
        <f aca="false">Cleaned_Prepared_Data!C98</f>
        <v>West</v>
      </c>
      <c r="D98" s="9" t="str">
        <f aca="false">Cleaned_Prepared_Data!D98</f>
        <v>Mall</v>
      </c>
      <c r="E98" s="9" t="n">
        <f aca="false">Cleaned_Prepared_Data!M98</f>
        <v>691113.62</v>
      </c>
      <c r="F98" s="22" t="n">
        <f aca="false">Multiple_Regression!$B$6+Multiple_Regression!$B$7*Cleaned_Prepared_Data!F98+Multiple_Regression!$B$8*Cleaned_Prepared_Data!E98+Multiple_Regression!$B$9*Cleaned_Prepared_Data!I98+Multiple_Regression!$B$10*Cleaned_Prepared_Data!H98+Multiple_Regression!$B$11*Cleaned_Prepared_Data!G98+Multiple_Regression!$B$12*Dummy_Variables!D98+Multiple_Regression!$B$13*Dummy_Variables!E98+Multiple_Regression!$B$14*Dummy_Variables!F98</f>
        <v>705598.619688816</v>
      </c>
      <c r="G98" s="22" t="n">
        <f aca="false">E98-F98</f>
        <v>-14484.9996888157</v>
      </c>
    </row>
    <row r="99" customFormat="false" ht="15" hidden="false" customHeight="true" outlineLevel="0" collapsed="false">
      <c r="A99" s="9" t="str">
        <f aca="false">Cleaned_Prepared_Data!A99</f>
        <v>STR-1025</v>
      </c>
      <c r="B99" s="10" t="n">
        <f aca="false">Cleaned_Prepared_Data!B99</f>
        <v>45689</v>
      </c>
      <c r="C99" s="9" t="str">
        <f aca="false">Cleaned_Prepared_Data!C99</f>
        <v>West</v>
      </c>
      <c r="D99" s="9" t="str">
        <f aca="false">Cleaned_Prepared_Data!D99</f>
        <v>Mall</v>
      </c>
      <c r="E99" s="9" t="n">
        <f aca="false">Cleaned_Prepared_Data!M99</f>
        <v>735509.4</v>
      </c>
      <c r="F99" s="22" t="n">
        <f aca="false">Multiple_Regression!$B$6+Multiple_Regression!$B$7*Cleaned_Prepared_Data!F99+Multiple_Regression!$B$8*Cleaned_Prepared_Data!E99+Multiple_Regression!$B$9*Cleaned_Prepared_Data!I99+Multiple_Regression!$B$10*Cleaned_Prepared_Data!H99+Multiple_Regression!$B$11*Cleaned_Prepared_Data!G99+Multiple_Regression!$B$12*Dummy_Variables!D99+Multiple_Regression!$B$13*Dummy_Variables!E99+Multiple_Regression!$B$14*Dummy_Variables!F99</f>
        <v>658671.619101945</v>
      </c>
      <c r="G99" s="22" t="n">
        <f aca="false">E99-F99</f>
        <v>76837.780898055</v>
      </c>
    </row>
    <row r="100" customFormat="false" ht="15" hidden="false" customHeight="true" outlineLevel="0" collapsed="false">
      <c r="A100" s="9" t="str">
        <f aca="false">Cleaned_Prepared_Data!A100</f>
        <v>STR-1025</v>
      </c>
      <c r="B100" s="10" t="n">
        <f aca="false">Cleaned_Prepared_Data!B100</f>
        <v>45748</v>
      </c>
      <c r="C100" s="9" t="str">
        <f aca="false">Cleaned_Prepared_Data!C100</f>
        <v>West</v>
      </c>
      <c r="D100" s="9" t="str">
        <f aca="false">Cleaned_Prepared_Data!D100</f>
        <v>Mall</v>
      </c>
      <c r="E100" s="9" t="n">
        <f aca="false">Cleaned_Prepared_Data!M100</f>
        <v>675177.68</v>
      </c>
      <c r="F100" s="22" t="n">
        <f aca="false">Multiple_Regression!$B$6+Multiple_Regression!$B$7*Cleaned_Prepared_Data!F100+Multiple_Regression!$B$8*Cleaned_Prepared_Data!E100+Multiple_Regression!$B$9*Cleaned_Prepared_Data!I100+Multiple_Regression!$B$10*Cleaned_Prepared_Data!H100+Multiple_Regression!$B$11*Cleaned_Prepared_Data!G100+Multiple_Regression!$B$12*Dummy_Variables!D100+Multiple_Regression!$B$13*Dummy_Variables!E100+Multiple_Regression!$B$14*Dummy_Variables!F100</f>
        <v>643586.161363485</v>
      </c>
      <c r="G100" s="22" t="n">
        <f aca="false">E100-F100</f>
        <v>31591.518636515</v>
      </c>
    </row>
    <row r="101" customFormat="false" ht="15" hidden="false" customHeight="true" outlineLevel="0" collapsed="false">
      <c r="A101" s="9" t="str">
        <f aca="false">Cleaned_Prepared_Data!A101</f>
        <v>STR-1026</v>
      </c>
      <c r="B101" s="10" t="n">
        <f aca="false">Cleaned_Prepared_Data!B101</f>
        <v>45658</v>
      </c>
      <c r="C101" s="9" t="str">
        <f aca="false">Cleaned_Prepared_Data!C101</f>
        <v>East</v>
      </c>
      <c r="D101" s="9" t="str">
        <f aca="false">Cleaned_Prepared_Data!D101</f>
        <v>Mall</v>
      </c>
      <c r="E101" s="9" t="n">
        <f aca="false">Cleaned_Prepared_Data!M101</f>
        <v>635181.35</v>
      </c>
      <c r="F101" s="22" t="n">
        <f aca="false">Multiple_Regression!$B$6+Multiple_Regression!$B$7*Cleaned_Prepared_Data!F101+Multiple_Regression!$B$8*Cleaned_Prepared_Data!E101+Multiple_Regression!$B$9*Cleaned_Prepared_Data!I101+Multiple_Regression!$B$10*Cleaned_Prepared_Data!H101+Multiple_Regression!$B$11*Cleaned_Prepared_Data!G101+Multiple_Regression!$B$12*Dummy_Variables!D101+Multiple_Regression!$B$13*Dummy_Variables!E101+Multiple_Regression!$B$14*Dummy_Variables!F101</f>
        <v>600172.43209986</v>
      </c>
      <c r="G101" s="22" t="n">
        <f aca="false">E101-F101</f>
        <v>35008.9179001396</v>
      </c>
    </row>
    <row r="102" customFormat="false" ht="15" hidden="false" customHeight="true" outlineLevel="0" collapsed="false">
      <c r="A102" s="9" t="str">
        <f aca="false">Cleaned_Prepared_Data!A102</f>
        <v>STR-1026</v>
      </c>
      <c r="B102" s="10" t="n">
        <f aca="false">Cleaned_Prepared_Data!B102</f>
        <v>45689</v>
      </c>
      <c r="C102" s="9" t="str">
        <f aca="false">Cleaned_Prepared_Data!C102</f>
        <v>East</v>
      </c>
      <c r="D102" s="9" t="str">
        <f aca="false">Cleaned_Prepared_Data!D102</f>
        <v>Mall</v>
      </c>
      <c r="E102" s="9" t="n">
        <f aca="false">Cleaned_Prepared_Data!M102</f>
        <v>586626.94</v>
      </c>
      <c r="F102" s="22" t="n">
        <f aca="false">Multiple_Regression!$B$6+Multiple_Regression!$B$7*Cleaned_Prepared_Data!F102+Multiple_Regression!$B$8*Cleaned_Prepared_Data!E102+Multiple_Regression!$B$9*Cleaned_Prepared_Data!I102+Multiple_Regression!$B$10*Cleaned_Prepared_Data!H102+Multiple_Regression!$B$11*Cleaned_Prepared_Data!G102+Multiple_Regression!$B$12*Dummy_Variables!D102+Multiple_Regression!$B$13*Dummy_Variables!E102+Multiple_Regression!$B$14*Dummy_Variables!F102</f>
        <v>633932.553432516</v>
      </c>
      <c r="G102" s="22" t="n">
        <f aca="false">E102-F102</f>
        <v>-47305.6134325159</v>
      </c>
    </row>
    <row r="103" customFormat="false" ht="15" hidden="false" customHeight="true" outlineLevel="0" collapsed="false">
      <c r="A103" s="9" t="str">
        <f aca="false">Cleaned_Prepared_Data!A103</f>
        <v>STR-1026</v>
      </c>
      <c r="B103" s="10" t="n">
        <f aca="false">Cleaned_Prepared_Data!B103</f>
        <v>45717</v>
      </c>
      <c r="C103" s="9" t="str">
        <f aca="false">Cleaned_Prepared_Data!C103</f>
        <v>East</v>
      </c>
      <c r="D103" s="9" t="str">
        <f aca="false">Cleaned_Prepared_Data!D103</f>
        <v>Mall</v>
      </c>
      <c r="E103" s="9" t="n">
        <f aca="false">Cleaned_Prepared_Data!M103</f>
        <v>740102.64</v>
      </c>
      <c r="F103" s="22" t="n">
        <f aca="false">Multiple_Regression!$B$6+Multiple_Regression!$B$7*Cleaned_Prepared_Data!F103+Multiple_Regression!$B$8*Cleaned_Prepared_Data!E103+Multiple_Regression!$B$9*Cleaned_Prepared_Data!I103+Multiple_Regression!$B$10*Cleaned_Prepared_Data!H103+Multiple_Regression!$B$11*Cleaned_Prepared_Data!G103+Multiple_Regression!$B$12*Dummy_Variables!D103+Multiple_Regression!$B$13*Dummy_Variables!E103+Multiple_Regression!$B$14*Dummy_Variables!F103</f>
        <v>706760.234961819</v>
      </c>
      <c r="G103" s="22" t="n">
        <f aca="false">E103-F103</f>
        <v>33342.4050381813</v>
      </c>
    </row>
    <row r="104" customFormat="false" ht="15" hidden="false" customHeight="true" outlineLevel="0" collapsed="false">
      <c r="A104" s="9" t="str">
        <f aca="false">Cleaned_Prepared_Data!A104</f>
        <v>STR-1026</v>
      </c>
      <c r="B104" s="10" t="n">
        <f aca="false">Cleaned_Prepared_Data!B104</f>
        <v>45748</v>
      </c>
      <c r="C104" s="9" t="str">
        <f aca="false">Cleaned_Prepared_Data!C104</f>
        <v>East</v>
      </c>
      <c r="D104" s="9" t="str">
        <f aca="false">Cleaned_Prepared_Data!D104</f>
        <v>Mall</v>
      </c>
      <c r="E104" s="9" t="n">
        <f aca="false">Cleaned_Prepared_Data!M104</f>
        <v>625514.04</v>
      </c>
      <c r="F104" s="22" t="n">
        <f aca="false">Multiple_Regression!$B$6+Multiple_Regression!$B$7*Cleaned_Prepared_Data!F104+Multiple_Regression!$B$8*Cleaned_Prepared_Data!E104+Multiple_Regression!$B$9*Cleaned_Prepared_Data!I104+Multiple_Regression!$B$10*Cleaned_Prepared_Data!H104+Multiple_Regression!$B$11*Cleaned_Prepared_Data!G104+Multiple_Regression!$B$12*Dummy_Variables!D104+Multiple_Regression!$B$13*Dummy_Variables!E104+Multiple_Regression!$B$14*Dummy_Variables!F104</f>
        <v>533463.068898065</v>
      </c>
      <c r="G104" s="22" t="n">
        <f aca="false">E104-F104</f>
        <v>92050.9711019351</v>
      </c>
    </row>
    <row r="105" customFormat="false" ht="15" hidden="false" customHeight="true" outlineLevel="0" collapsed="false">
      <c r="A105" s="9" t="str">
        <f aca="false">Cleaned_Prepared_Data!A105</f>
        <v>STR-1027</v>
      </c>
      <c r="B105" s="10" t="n">
        <f aca="false">Cleaned_Prepared_Data!B105</f>
        <v>45658</v>
      </c>
      <c r="C105" s="9" t="str">
        <f aca="false">Cleaned_Prepared_Data!C105</f>
        <v>West</v>
      </c>
      <c r="D105" s="9" t="str">
        <f aca="false">Cleaned_Prepared_Data!D105</f>
        <v>High Street</v>
      </c>
      <c r="E105" s="9" t="n">
        <f aca="false">Cleaned_Prepared_Data!M105</f>
        <v>727227.2</v>
      </c>
      <c r="F105" s="22" t="n">
        <f aca="false">Multiple_Regression!$B$6+Multiple_Regression!$B$7*Cleaned_Prepared_Data!F105+Multiple_Regression!$B$8*Cleaned_Prepared_Data!E105+Multiple_Regression!$B$9*Cleaned_Prepared_Data!I105+Multiple_Regression!$B$10*Cleaned_Prepared_Data!H105+Multiple_Regression!$B$11*Cleaned_Prepared_Data!G105+Multiple_Regression!$B$12*Dummy_Variables!D105+Multiple_Regression!$B$13*Dummy_Variables!E105+Multiple_Regression!$B$14*Dummy_Variables!F105</f>
        <v>702878.523176627</v>
      </c>
      <c r="G105" s="22" t="n">
        <f aca="false">E105-F105</f>
        <v>24348.6768233731</v>
      </c>
    </row>
    <row r="106" customFormat="false" ht="15" hidden="false" customHeight="true" outlineLevel="0" collapsed="false">
      <c r="A106" s="9" t="str">
        <f aca="false">Cleaned_Prepared_Data!A106</f>
        <v>STR-1027</v>
      </c>
      <c r="B106" s="10" t="n">
        <f aca="false">Cleaned_Prepared_Data!B106</f>
        <v>45689</v>
      </c>
      <c r="C106" s="9" t="str">
        <f aca="false">Cleaned_Prepared_Data!C106</f>
        <v>West</v>
      </c>
      <c r="D106" s="9" t="str">
        <f aca="false">Cleaned_Prepared_Data!D106</f>
        <v>High Street</v>
      </c>
      <c r="E106" s="9" t="n">
        <f aca="false">Cleaned_Prepared_Data!M106</f>
        <v>783797.89</v>
      </c>
      <c r="F106" s="22" t="n">
        <f aca="false">Multiple_Regression!$B$6+Multiple_Regression!$B$7*Cleaned_Prepared_Data!F106+Multiple_Regression!$B$8*Cleaned_Prepared_Data!E106+Multiple_Regression!$B$9*Cleaned_Prepared_Data!I106+Multiple_Regression!$B$10*Cleaned_Prepared_Data!H106+Multiple_Regression!$B$11*Cleaned_Prepared_Data!G106+Multiple_Regression!$B$12*Dummy_Variables!D106+Multiple_Regression!$B$13*Dummy_Variables!E106+Multiple_Regression!$B$14*Dummy_Variables!F106</f>
        <v>791287.760143834</v>
      </c>
      <c r="G106" s="22" t="n">
        <f aca="false">E106-F106</f>
        <v>-7489.87014383392</v>
      </c>
    </row>
    <row r="107" customFormat="false" ht="15" hidden="false" customHeight="true" outlineLevel="0" collapsed="false">
      <c r="A107" s="9" t="str">
        <f aca="false">Cleaned_Prepared_Data!A107</f>
        <v>STR-1027</v>
      </c>
      <c r="B107" s="10" t="n">
        <f aca="false">Cleaned_Prepared_Data!B107</f>
        <v>45717</v>
      </c>
      <c r="C107" s="9" t="str">
        <f aca="false">Cleaned_Prepared_Data!C107</f>
        <v>West</v>
      </c>
      <c r="D107" s="9" t="str">
        <f aca="false">Cleaned_Prepared_Data!D107</f>
        <v>High Street</v>
      </c>
      <c r="E107" s="9" t="n">
        <f aca="false">Cleaned_Prepared_Data!M107</f>
        <v>795153.84</v>
      </c>
      <c r="F107" s="22" t="n">
        <f aca="false">Multiple_Regression!$B$6+Multiple_Regression!$B$7*Cleaned_Prepared_Data!F107+Multiple_Regression!$B$8*Cleaned_Prepared_Data!E107+Multiple_Regression!$B$9*Cleaned_Prepared_Data!I107+Multiple_Regression!$B$10*Cleaned_Prepared_Data!H107+Multiple_Regression!$B$11*Cleaned_Prepared_Data!G107+Multiple_Regression!$B$12*Dummy_Variables!D107+Multiple_Regression!$B$13*Dummy_Variables!E107+Multiple_Regression!$B$14*Dummy_Variables!F107</f>
        <v>712343.353556123</v>
      </c>
      <c r="G107" s="22" t="n">
        <f aca="false">E107-F107</f>
        <v>82810.4864438775</v>
      </c>
    </row>
    <row r="108" customFormat="false" ht="15" hidden="false" customHeight="true" outlineLevel="0" collapsed="false">
      <c r="A108" s="9" t="str">
        <f aca="false">Cleaned_Prepared_Data!A108</f>
        <v>STR-1027</v>
      </c>
      <c r="B108" s="10" t="n">
        <f aca="false">Cleaned_Prepared_Data!B108</f>
        <v>45748</v>
      </c>
      <c r="C108" s="9" t="str">
        <f aca="false">Cleaned_Prepared_Data!C108</f>
        <v>West</v>
      </c>
      <c r="D108" s="9" t="str">
        <f aca="false">Cleaned_Prepared_Data!D108</f>
        <v>High Street</v>
      </c>
      <c r="E108" s="9" t="n">
        <f aca="false">Cleaned_Prepared_Data!M108</f>
        <v>665594.94</v>
      </c>
      <c r="F108" s="22" t="n">
        <f aca="false">Multiple_Regression!$B$6+Multiple_Regression!$B$7*Cleaned_Prepared_Data!F108+Multiple_Regression!$B$8*Cleaned_Prepared_Data!E108+Multiple_Regression!$B$9*Cleaned_Prepared_Data!I108+Multiple_Regression!$B$10*Cleaned_Prepared_Data!H108+Multiple_Regression!$B$11*Cleaned_Prepared_Data!G108+Multiple_Regression!$B$12*Dummy_Variables!D108+Multiple_Regression!$B$13*Dummy_Variables!E108+Multiple_Regression!$B$14*Dummy_Variables!F108</f>
        <v>664563.9984414</v>
      </c>
      <c r="G108" s="22" t="n">
        <f aca="false">E108-F108</f>
        <v>1030.94155859994</v>
      </c>
    </row>
    <row r="109" customFormat="false" ht="15" hidden="false" customHeight="true" outlineLevel="0" collapsed="false">
      <c r="A109" s="9" t="str">
        <f aca="false">Cleaned_Prepared_Data!A109</f>
        <v>STR-1028</v>
      </c>
      <c r="B109" s="10" t="n">
        <f aca="false">Cleaned_Prepared_Data!B109</f>
        <v>45658</v>
      </c>
      <c r="C109" s="9" t="str">
        <f aca="false">Cleaned_Prepared_Data!C109</f>
        <v>East</v>
      </c>
      <c r="D109" s="9" t="str">
        <f aca="false">Cleaned_Prepared_Data!D109</f>
        <v>Mall</v>
      </c>
      <c r="E109" s="9" t="n">
        <f aca="false">Cleaned_Prepared_Data!M109</f>
        <v>709478.39</v>
      </c>
      <c r="F109" s="22" t="n">
        <f aca="false">Multiple_Regression!$B$6+Multiple_Regression!$B$7*Cleaned_Prepared_Data!F109+Multiple_Regression!$B$8*Cleaned_Prepared_Data!E109+Multiple_Regression!$B$9*Cleaned_Prepared_Data!I109+Multiple_Regression!$B$10*Cleaned_Prepared_Data!H109+Multiple_Regression!$B$11*Cleaned_Prepared_Data!G109+Multiple_Regression!$B$12*Dummy_Variables!D109+Multiple_Regression!$B$13*Dummy_Variables!E109+Multiple_Regression!$B$14*Dummy_Variables!F109</f>
        <v>692470.376257901</v>
      </c>
      <c r="G109" s="22" t="n">
        <f aca="false">E109-F109</f>
        <v>17008.0137420989</v>
      </c>
    </row>
    <row r="110" customFormat="false" ht="15" hidden="false" customHeight="true" outlineLevel="0" collapsed="false">
      <c r="A110" s="9" t="str">
        <f aca="false">Cleaned_Prepared_Data!A110</f>
        <v>STR-1028</v>
      </c>
      <c r="B110" s="10" t="n">
        <f aca="false">Cleaned_Prepared_Data!B110</f>
        <v>45689</v>
      </c>
      <c r="C110" s="9" t="str">
        <f aca="false">Cleaned_Prepared_Data!C110</f>
        <v>East</v>
      </c>
      <c r="D110" s="9" t="str">
        <f aca="false">Cleaned_Prepared_Data!D110</f>
        <v>Mall</v>
      </c>
      <c r="E110" s="9" t="n">
        <f aca="false">Cleaned_Prepared_Data!M110</f>
        <v>664162.49</v>
      </c>
      <c r="F110" s="22" t="n">
        <f aca="false">Multiple_Regression!$B$6+Multiple_Regression!$B$7*Cleaned_Prepared_Data!F110+Multiple_Regression!$B$8*Cleaned_Prepared_Data!E110+Multiple_Regression!$B$9*Cleaned_Prepared_Data!I110+Multiple_Regression!$B$10*Cleaned_Prepared_Data!H110+Multiple_Regression!$B$11*Cleaned_Prepared_Data!G110+Multiple_Regression!$B$12*Dummy_Variables!D110+Multiple_Regression!$B$13*Dummy_Variables!E110+Multiple_Regression!$B$14*Dummy_Variables!F110</f>
        <v>652731.668419963</v>
      </c>
      <c r="G110" s="22" t="n">
        <f aca="false">E110-F110</f>
        <v>11430.8215800371</v>
      </c>
    </row>
    <row r="111" customFormat="false" ht="15" hidden="false" customHeight="true" outlineLevel="0" collapsed="false">
      <c r="A111" s="9" t="str">
        <f aca="false">Cleaned_Prepared_Data!A111</f>
        <v>STR-1028</v>
      </c>
      <c r="B111" s="10" t="n">
        <f aca="false">Cleaned_Prepared_Data!B111</f>
        <v>45717</v>
      </c>
      <c r="C111" s="9" t="str">
        <f aca="false">Cleaned_Prepared_Data!C111</f>
        <v>East</v>
      </c>
      <c r="D111" s="9" t="str">
        <f aca="false">Cleaned_Prepared_Data!D111</f>
        <v>Mall</v>
      </c>
      <c r="E111" s="9" t="n">
        <f aca="false">Cleaned_Prepared_Data!M111</f>
        <v>633494.21</v>
      </c>
      <c r="F111" s="22" t="n">
        <f aca="false">Multiple_Regression!$B$6+Multiple_Regression!$B$7*Cleaned_Prepared_Data!F111+Multiple_Regression!$B$8*Cleaned_Prepared_Data!E111+Multiple_Regression!$B$9*Cleaned_Prepared_Data!I111+Multiple_Regression!$B$10*Cleaned_Prepared_Data!H111+Multiple_Regression!$B$11*Cleaned_Prepared_Data!G111+Multiple_Regression!$B$12*Dummy_Variables!D111+Multiple_Regression!$B$13*Dummy_Variables!E111+Multiple_Regression!$B$14*Dummy_Variables!F111</f>
        <v>658602.154774601</v>
      </c>
      <c r="G111" s="22" t="n">
        <f aca="false">E111-F111</f>
        <v>-25107.9447746011</v>
      </c>
    </row>
    <row r="112" customFormat="false" ht="15" hidden="false" customHeight="true" outlineLevel="0" collapsed="false">
      <c r="A112" s="9" t="str">
        <f aca="false">Cleaned_Prepared_Data!A112</f>
        <v>STR-1028</v>
      </c>
      <c r="B112" s="10" t="n">
        <f aca="false">Cleaned_Prepared_Data!B112</f>
        <v>45748</v>
      </c>
      <c r="C112" s="9" t="str">
        <f aca="false">Cleaned_Prepared_Data!C112</f>
        <v>East</v>
      </c>
      <c r="D112" s="9" t="str">
        <f aca="false">Cleaned_Prepared_Data!D112</f>
        <v>Mall</v>
      </c>
      <c r="E112" s="9" t="n">
        <f aca="false">Cleaned_Prepared_Data!M112</f>
        <v>713611.16</v>
      </c>
      <c r="F112" s="22" t="n">
        <f aca="false">Multiple_Regression!$B$6+Multiple_Regression!$B$7*Cleaned_Prepared_Data!F112+Multiple_Regression!$B$8*Cleaned_Prepared_Data!E112+Multiple_Regression!$B$9*Cleaned_Prepared_Data!I112+Multiple_Regression!$B$10*Cleaned_Prepared_Data!H112+Multiple_Regression!$B$11*Cleaned_Prepared_Data!G112+Multiple_Regression!$B$12*Dummy_Variables!D112+Multiple_Regression!$B$13*Dummy_Variables!E112+Multiple_Regression!$B$14*Dummy_Variables!F112</f>
        <v>618133.870117513</v>
      </c>
      <c r="G112" s="22" t="n">
        <f aca="false">E112-F112</f>
        <v>95477.2898824869</v>
      </c>
    </row>
    <row r="113" customFormat="false" ht="15" hidden="false" customHeight="true" outlineLevel="0" collapsed="false">
      <c r="A113" s="9" t="str">
        <f aca="false">Cleaned_Prepared_Data!A113</f>
        <v>STR-1029</v>
      </c>
      <c r="B113" s="10" t="n">
        <f aca="false">Cleaned_Prepared_Data!B113</f>
        <v>45658</v>
      </c>
      <c r="C113" s="9" t="str">
        <f aca="false">Cleaned_Prepared_Data!C113</f>
        <v>West</v>
      </c>
      <c r="D113" s="9" t="str">
        <f aca="false">Cleaned_Prepared_Data!D113</f>
        <v>Mall</v>
      </c>
      <c r="E113" s="9" t="n">
        <f aca="false">Cleaned_Prepared_Data!M113</f>
        <v>778397.97</v>
      </c>
      <c r="F113" s="22" t="n">
        <f aca="false">Multiple_Regression!$B$6+Multiple_Regression!$B$7*Cleaned_Prepared_Data!F113+Multiple_Regression!$B$8*Cleaned_Prepared_Data!E113+Multiple_Regression!$B$9*Cleaned_Prepared_Data!I113+Multiple_Regression!$B$10*Cleaned_Prepared_Data!H113+Multiple_Regression!$B$11*Cleaned_Prepared_Data!G113+Multiple_Regression!$B$12*Dummy_Variables!D113+Multiple_Regression!$B$13*Dummy_Variables!E113+Multiple_Regression!$B$14*Dummy_Variables!F113</f>
        <v>745764.637738355</v>
      </c>
      <c r="G113" s="22" t="n">
        <f aca="false">E113-F113</f>
        <v>32633.3322616454</v>
      </c>
    </row>
    <row r="114" customFormat="false" ht="15" hidden="false" customHeight="true" outlineLevel="0" collapsed="false">
      <c r="A114" s="9" t="str">
        <f aca="false">Cleaned_Prepared_Data!A114</f>
        <v>STR-1029</v>
      </c>
      <c r="B114" s="10" t="n">
        <f aca="false">Cleaned_Prepared_Data!B114</f>
        <v>45689</v>
      </c>
      <c r="C114" s="9" t="str">
        <f aca="false">Cleaned_Prepared_Data!C114</f>
        <v>West</v>
      </c>
      <c r="D114" s="9" t="str">
        <f aca="false">Cleaned_Prepared_Data!D114</f>
        <v>Mall</v>
      </c>
      <c r="E114" s="9" t="n">
        <f aca="false">Cleaned_Prepared_Data!M114</f>
        <v>873380.02</v>
      </c>
      <c r="F114" s="22" t="n">
        <f aca="false">Multiple_Regression!$B$6+Multiple_Regression!$B$7*Cleaned_Prepared_Data!F114+Multiple_Regression!$B$8*Cleaned_Prepared_Data!E114+Multiple_Regression!$B$9*Cleaned_Prepared_Data!I114+Multiple_Regression!$B$10*Cleaned_Prepared_Data!H114+Multiple_Regression!$B$11*Cleaned_Prepared_Data!G114+Multiple_Regression!$B$12*Dummy_Variables!D114+Multiple_Regression!$B$13*Dummy_Variables!E114+Multiple_Regression!$B$14*Dummy_Variables!F114</f>
        <v>835299.427703286</v>
      </c>
      <c r="G114" s="22" t="n">
        <f aca="false">E114-F114</f>
        <v>38080.5922967144</v>
      </c>
    </row>
    <row r="115" customFormat="false" ht="15" hidden="false" customHeight="true" outlineLevel="0" collapsed="false">
      <c r="A115" s="9" t="str">
        <f aca="false">Cleaned_Prepared_Data!A115</f>
        <v>STR-1029</v>
      </c>
      <c r="B115" s="10" t="n">
        <f aca="false">Cleaned_Prepared_Data!B115</f>
        <v>45717</v>
      </c>
      <c r="C115" s="9" t="str">
        <f aca="false">Cleaned_Prepared_Data!C115</f>
        <v>West</v>
      </c>
      <c r="D115" s="9" t="str">
        <f aca="false">Cleaned_Prepared_Data!D115</f>
        <v>Mall</v>
      </c>
      <c r="E115" s="9" t="n">
        <f aca="false">Cleaned_Prepared_Data!M115</f>
        <v>697287.9</v>
      </c>
      <c r="F115" s="22" t="n">
        <f aca="false">Multiple_Regression!$B$6+Multiple_Regression!$B$7*Cleaned_Prepared_Data!F115+Multiple_Regression!$B$8*Cleaned_Prepared_Data!E115+Multiple_Regression!$B$9*Cleaned_Prepared_Data!I115+Multiple_Regression!$B$10*Cleaned_Prepared_Data!H115+Multiple_Regression!$B$11*Cleaned_Prepared_Data!G115+Multiple_Regression!$B$12*Dummy_Variables!D115+Multiple_Regression!$B$13*Dummy_Variables!E115+Multiple_Regression!$B$14*Dummy_Variables!F115</f>
        <v>759020.313963095</v>
      </c>
      <c r="G115" s="22" t="n">
        <f aca="false">E115-F115</f>
        <v>-61732.4139630947</v>
      </c>
    </row>
    <row r="116" customFormat="false" ht="15" hidden="false" customHeight="true" outlineLevel="0" collapsed="false">
      <c r="A116" s="9" t="str">
        <f aca="false">Cleaned_Prepared_Data!A116</f>
        <v>STR-1029</v>
      </c>
      <c r="B116" s="10" t="n">
        <f aca="false">Cleaned_Prepared_Data!B116</f>
        <v>45748</v>
      </c>
      <c r="C116" s="9" t="str">
        <f aca="false">Cleaned_Prepared_Data!C116</f>
        <v>West</v>
      </c>
      <c r="D116" s="9" t="str">
        <f aca="false">Cleaned_Prepared_Data!D116</f>
        <v>Mall</v>
      </c>
      <c r="E116" s="9" t="n">
        <f aca="false">Cleaned_Prepared_Data!M116</f>
        <v>718074.79</v>
      </c>
      <c r="F116" s="22" t="n">
        <f aca="false">Multiple_Regression!$B$6+Multiple_Regression!$B$7*Cleaned_Prepared_Data!F116+Multiple_Regression!$B$8*Cleaned_Prepared_Data!E116+Multiple_Regression!$B$9*Cleaned_Prepared_Data!I116+Multiple_Regression!$B$10*Cleaned_Prepared_Data!H116+Multiple_Regression!$B$11*Cleaned_Prepared_Data!G116+Multiple_Regression!$B$12*Dummy_Variables!D116+Multiple_Regression!$B$13*Dummy_Variables!E116+Multiple_Regression!$B$14*Dummy_Variables!F116</f>
        <v>763823.719686135</v>
      </c>
      <c r="G116" s="22" t="n">
        <f aca="false">E116-F116</f>
        <v>-45748.929686135</v>
      </c>
    </row>
    <row r="117" customFormat="false" ht="15" hidden="false" customHeight="true" outlineLevel="0" collapsed="false">
      <c r="A117" s="9" t="str">
        <f aca="false">Cleaned_Prepared_Data!A117</f>
        <v>STR-1030</v>
      </c>
      <c r="B117" s="10" t="n">
        <f aca="false">Cleaned_Prepared_Data!B117</f>
        <v>45658</v>
      </c>
      <c r="C117" s="9" t="str">
        <f aca="false">Cleaned_Prepared_Data!C117</f>
        <v>West</v>
      </c>
      <c r="D117" s="9" t="str">
        <f aca="false">Cleaned_Prepared_Data!D117</f>
        <v>Residential</v>
      </c>
      <c r="E117" s="9" t="n">
        <f aca="false">Cleaned_Prepared_Data!M117</f>
        <v>714942.43</v>
      </c>
      <c r="F117" s="22" t="n">
        <f aca="false">Multiple_Regression!$B$6+Multiple_Regression!$B$7*Cleaned_Prepared_Data!F117+Multiple_Regression!$B$8*Cleaned_Prepared_Data!E117+Multiple_Regression!$B$9*Cleaned_Prepared_Data!I117+Multiple_Regression!$B$10*Cleaned_Prepared_Data!H117+Multiple_Regression!$B$11*Cleaned_Prepared_Data!G117+Multiple_Regression!$B$12*Dummy_Variables!D117+Multiple_Regression!$B$13*Dummy_Variables!E117+Multiple_Regression!$B$14*Dummy_Variables!F117</f>
        <v>693258.062617434</v>
      </c>
      <c r="G117" s="22" t="n">
        <f aca="false">E117-F117</f>
        <v>21684.3673825661</v>
      </c>
    </row>
    <row r="118" customFormat="false" ht="15" hidden="false" customHeight="true" outlineLevel="0" collapsed="false">
      <c r="A118" s="9" t="str">
        <f aca="false">Cleaned_Prepared_Data!A118</f>
        <v>STR-1030</v>
      </c>
      <c r="B118" s="10" t="n">
        <f aca="false">Cleaned_Prepared_Data!B118</f>
        <v>45689</v>
      </c>
      <c r="C118" s="9" t="str">
        <f aca="false">Cleaned_Prepared_Data!C118</f>
        <v>West</v>
      </c>
      <c r="D118" s="9" t="str">
        <f aca="false">Cleaned_Prepared_Data!D118</f>
        <v>Residential</v>
      </c>
      <c r="E118" s="9" t="n">
        <f aca="false">Cleaned_Prepared_Data!M118</f>
        <v>820519.04</v>
      </c>
      <c r="F118" s="22" t="n">
        <f aca="false">Multiple_Regression!$B$6+Multiple_Regression!$B$7*Cleaned_Prepared_Data!F118+Multiple_Regression!$B$8*Cleaned_Prepared_Data!E118+Multiple_Regression!$B$9*Cleaned_Prepared_Data!I118+Multiple_Regression!$B$10*Cleaned_Prepared_Data!H118+Multiple_Regression!$B$11*Cleaned_Prepared_Data!G118+Multiple_Regression!$B$12*Dummy_Variables!D118+Multiple_Regression!$B$13*Dummy_Variables!E118+Multiple_Regression!$B$14*Dummy_Variables!F118</f>
        <v>714545.298629925</v>
      </c>
      <c r="G118" s="22" t="n">
        <f aca="false">E118-F118</f>
        <v>105973.741370075</v>
      </c>
    </row>
    <row r="119" customFormat="false" ht="15" hidden="false" customHeight="true" outlineLevel="0" collapsed="false">
      <c r="A119" s="9" t="str">
        <f aca="false">Cleaned_Prepared_Data!A119</f>
        <v>STR-1030</v>
      </c>
      <c r="B119" s="10" t="n">
        <f aca="false">Cleaned_Prepared_Data!B119</f>
        <v>45717</v>
      </c>
      <c r="C119" s="9" t="str">
        <f aca="false">Cleaned_Prepared_Data!C119</f>
        <v>West</v>
      </c>
      <c r="D119" s="9" t="str">
        <f aca="false">Cleaned_Prepared_Data!D119</f>
        <v>Residential</v>
      </c>
      <c r="E119" s="9" t="n">
        <f aca="false">Cleaned_Prepared_Data!M119</f>
        <v>684217.32</v>
      </c>
      <c r="F119" s="22" t="n">
        <f aca="false">Multiple_Regression!$B$6+Multiple_Regression!$B$7*Cleaned_Prepared_Data!F119+Multiple_Regression!$B$8*Cleaned_Prepared_Data!E119+Multiple_Regression!$B$9*Cleaned_Prepared_Data!I119+Multiple_Regression!$B$10*Cleaned_Prepared_Data!H119+Multiple_Regression!$B$11*Cleaned_Prepared_Data!G119+Multiple_Regression!$B$12*Dummy_Variables!D119+Multiple_Regression!$B$13*Dummy_Variables!E119+Multiple_Regression!$B$14*Dummy_Variables!F119</f>
        <v>734237.898789515</v>
      </c>
      <c r="G119" s="22" t="n">
        <f aca="false">E119-F119</f>
        <v>-50020.5787895148</v>
      </c>
    </row>
    <row r="120" customFormat="false" ht="15" hidden="false" customHeight="true" outlineLevel="0" collapsed="false">
      <c r="A120" s="9" t="str">
        <f aca="false">Cleaned_Prepared_Data!A120</f>
        <v>STR-1030</v>
      </c>
      <c r="B120" s="10" t="n">
        <f aca="false">Cleaned_Prepared_Data!B120</f>
        <v>45748</v>
      </c>
      <c r="C120" s="9" t="str">
        <f aca="false">Cleaned_Prepared_Data!C120</f>
        <v>West</v>
      </c>
      <c r="D120" s="9" t="str">
        <f aca="false">Cleaned_Prepared_Data!D120</f>
        <v>Residential</v>
      </c>
      <c r="E120" s="9" t="n">
        <f aca="false">Cleaned_Prepared_Data!M120</f>
        <v>735480.19</v>
      </c>
      <c r="F120" s="22" t="n">
        <f aca="false">Multiple_Regression!$B$6+Multiple_Regression!$B$7*Cleaned_Prepared_Data!F120+Multiple_Regression!$B$8*Cleaned_Prepared_Data!E120+Multiple_Regression!$B$9*Cleaned_Prepared_Data!I120+Multiple_Regression!$B$10*Cleaned_Prepared_Data!H120+Multiple_Regression!$B$11*Cleaned_Prepared_Data!G120+Multiple_Regression!$B$12*Dummy_Variables!D120+Multiple_Regression!$B$13*Dummy_Variables!E120+Multiple_Regression!$B$14*Dummy_Variables!F120</f>
        <v>722477.360441543</v>
      </c>
      <c r="G120" s="22" t="n">
        <f aca="false">E120-F120</f>
        <v>13002.8295584568</v>
      </c>
    </row>
    <row r="121" customFormat="false" ht="15" hidden="false" customHeight="true" outlineLevel="0" collapsed="false">
      <c r="A121" s="9" t="str">
        <f aca="false">Cleaned_Prepared_Data!A121</f>
        <v>STR-1031</v>
      </c>
      <c r="B121" s="10" t="n">
        <f aca="false">Cleaned_Prepared_Data!B121</f>
        <v>45658</v>
      </c>
      <c r="C121" s="9" t="str">
        <f aca="false">Cleaned_Prepared_Data!C121</f>
        <v>North</v>
      </c>
      <c r="D121" s="9" t="str">
        <f aca="false">Cleaned_Prepared_Data!D121</f>
        <v>High Street</v>
      </c>
      <c r="E121" s="9" t="n">
        <f aca="false">Cleaned_Prepared_Data!M121</f>
        <v>509484.81</v>
      </c>
      <c r="F121" s="22" t="n">
        <f aca="false">Multiple_Regression!$B$6+Multiple_Regression!$B$7*Cleaned_Prepared_Data!F121+Multiple_Regression!$B$8*Cleaned_Prepared_Data!E121+Multiple_Regression!$B$9*Cleaned_Prepared_Data!I121+Multiple_Regression!$B$10*Cleaned_Prepared_Data!H121+Multiple_Regression!$B$11*Cleaned_Prepared_Data!G121+Multiple_Regression!$B$12*Dummy_Variables!D121+Multiple_Regression!$B$13*Dummy_Variables!E121+Multiple_Regression!$B$14*Dummy_Variables!F121</f>
        <v>566726.371993072</v>
      </c>
      <c r="G121" s="22" t="n">
        <f aca="false">E121-F121</f>
        <v>-57241.5619930723</v>
      </c>
    </row>
    <row r="122" customFormat="false" ht="15" hidden="false" customHeight="true" outlineLevel="0" collapsed="false">
      <c r="A122" s="9" t="str">
        <f aca="false">Cleaned_Prepared_Data!A122</f>
        <v>STR-1031</v>
      </c>
      <c r="B122" s="10" t="n">
        <f aca="false">Cleaned_Prepared_Data!B122</f>
        <v>45689</v>
      </c>
      <c r="C122" s="9" t="str">
        <f aca="false">Cleaned_Prepared_Data!C122</f>
        <v>North</v>
      </c>
      <c r="D122" s="9" t="str">
        <f aca="false">Cleaned_Prepared_Data!D122</f>
        <v>High Street</v>
      </c>
      <c r="E122" s="9" t="n">
        <f aca="false">Cleaned_Prepared_Data!M122</f>
        <v>654317.09</v>
      </c>
      <c r="F122" s="22" t="n">
        <f aca="false">Multiple_Regression!$B$6+Multiple_Regression!$B$7*Cleaned_Prepared_Data!F122+Multiple_Regression!$B$8*Cleaned_Prepared_Data!E122+Multiple_Regression!$B$9*Cleaned_Prepared_Data!I122+Multiple_Regression!$B$10*Cleaned_Prepared_Data!H122+Multiple_Regression!$B$11*Cleaned_Prepared_Data!G122+Multiple_Regression!$B$12*Dummy_Variables!D122+Multiple_Regression!$B$13*Dummy_Variables!E122+Multiple_Regression!$B$14*Dummy_Variables!F122</f>
        <v>633202.755098209</v>
      </c>
      <c r="G122" s="22" t="n">
        <f aca="false">E122-F122</f>
        <v>21114.3349017911</v>
      </c>
    </row>
    <row r="123" customFormat="false" ht="15" hidden="false" customHeight="true" outlineLevel="0" collapsed="false">
      <c r="A123" s="9" t="str">
        <f aca="false">Cleaned_Prepared_Data!A123</f>
        <v>STR-1031</v>
      </c>
      <c r="B123" s="10" t="n">
        <f aca="false">Cleaned_Prepared_Data!B123</f>
        <v>45717</v>
      </c>
      <c r="C123" s="9" t="str">
        <f aca="false">Cleaned_Prepared_Data!C123</f>
        <v>North</v>
      </c>
      <c r="D123" s="9" t="str">
        <f aca="false">Cleaned_Prepared_Data!D123</f>
        <v>High Street</v>
      </c>
      <c r="E123" s="9" t="n">
        <f aca="false">Cleaned_Prepared_Data!M123</f>
        <v>557487.26</v>
      </c>
      <c r="F123" s="22" t="n">
        <f aca="false">Multiple_Regression!$B$6+Multiple_Regression!$B$7*Cleaned_Prepared_Data!F123+Multiple_Regression!$B$8*Cleaned_Prepared_Data!E123+Multiple_Regression!$B$9*Cleaned_Prepared_Data!I123+Multiple_Regression!$B$10*Cleaned_Prepared_Data!H123+Multiple_Regression!$B$11*Cleaned_Prepared_Data!G123+Multiple_Regression!$B$12*Dummy_Variables!D123+Multiple_Regression!$B$13*Dummy_Variables!E123+Multiple_Regression!$B$14*Dummy_Variables!F123</f>
        <v>602501.655469662</v>
      </c>
      <c r="G123" s="22" t="n">
        <f aca="false">E123-F123</f>
        <v>-45014.3954696615</v>
      </c>
    </row>
    <row r="124" customFormat="false" ht="15" hidden="false" customHeight="true" outlineLevel="0" collapsed="false">
      <c r="A124" s="9" t="str">
        <f aca="false">Cleaned_Prepared_Data!A124</f>
        <v>STR-1031</v>
      </c>
      <c r="B124" s="10" t="n">
        <f aca="false">Cleaned_Prepared_Data!B124</f>
        <v>45748</v>
      </c>
      <c r="C124" s="9" t="str">
        <f aca="false">Cleaned_Prepared_Data!C124</f>
        <v>North</v>
      </c>
      <c r="D124" s="9" t="str">
        <f aca="false">Cleaned_Prepared_Data!D124</f>
        <v>High Street</v>
      </c>
      <c r="E124" s="9" t="n">
        <f aca="false">Cleaned_Prepared_Data!M124</f>
        <v>441275.42</v>
      </c>
      <c r="F124" s="22" t="n">
        <f aca="false">Multiple_Regression!$B$6+Multiple_Regression!$B$7*Cleaned_Prepared_Data!F124+Multiple_Regression!$B$8*Cleaned_Prepared_Data!E124+Multiple_Regression!$B$9*Cleaned_Prepared_Data!I124+Multiple_Regression!$B$10*Cleaned_Prepared_Data!H124+Multiple_Regression!$B$11*Cleaned_Prepared_Data!G124+Multiple_Regression!$B$12*Dummy_Variables!D124+Multiple_Regression!$B$13*Dummy_Variables!E124+Multiple_Regression!$B$14*Dummy_Variables!F124</f>
        <v>508958.309243395</v>
      </c>
      <c r="G124" s="22" t="n">
        <f aca="false">E124-F124</f>
        <v>-67682.8892433951</v>
      </c>
    </row>
    <row r="125" customFormat="false" ht="15" hidden="false" customHeight="true" outlineLevel="0" collapsed="false">
      <c r="A125" s="9" t="str">
        <f aca="false">Cleaned_Prepared_Data!A125</f>
        <v>STR-1032</v>
      </c>
      <c r="B125" s="10" t="n">
        <f aca="false">Cleaned_Prepared_Data!B125</f>
        <v>45658</v>
      </c>
      <c r="C125" s="9" t="str">
        <f aca="false">Cleaned_Prepared_Data!C125</f>
        <v>South</v>
      </c>
      <c r="D125" s="9" t="str">
        <f aca="false">Cleaned_Prepared_Data!D125</f>
        <v>High Street</v>
      </c>
      <c r="E125" s="9" t="n">
        <f aca="false">Cleaned_Prepared_Data!M125</f>
        <v>914544.17</v>
      </c>
      <c r="F125" s="22" t="n">
        <f aca="false">Multiple_Regression!$B$6+Multiple_Regression!$B$7*Cleaned_Prepared_Data!F125+Multiple_Regression!$B$8*Cleaned_Prepared_Data!E125+Multiple_Regression!$B$9*Cleaned_Prepared_Data!I125+Multiple_Regression!$B$10*Cleaned_Prepared_Data!H125+Multiple_Regression!$B$11*Cleaned_Prepared_Data!G125+Multiple_Regression!$B$12*Dummy_Variables!D125+Multiple_Regression!$B$13*Dummy_Variables!E125+Multiple_Regression!$B$14*Dummy_Variables!F125</f>
        <v>820220.51030506</v>
      </c>
      <c r="G125" s="22" t="n">
        <f aca="false">E125-F125</f>
        <v>94323.6596949404</v>
      </c>
    </row>
    <row r="126" customFormat="false" ht="15" hidden="false" customHeight="true" outlineLevel="0" collapsed="false">
      <c r="A126" s="9" t="str">
        <f aca="false">Cleaned_Prepared_Data!A126</f>
        <v>STR-1032</v>
      </c>
      <c r="B126" s="10" t="n">
        <f aca="false">Cleaned_Prepared_Data!B126</f>
        <v>45689</v>
      </c>
      <c r="C126" s="9" t="str">
        <f aca="false">Cleaned_Prepared_Data!C126</f>
        <v>South</v>
      </c>
      <c r="D126" s="9" t="str">
        <f aca="false">Cleaned_Prepared_Data!D126</f>
        <v>High Street</v>
      </c>
      <c r="E126" s="9" t="n">
        <f aca="false">Cleaned_Prepared_Data!M126</f>
        <v>842439.67</v>
      </c>
      <c r="F126" s="22" t="n">
        <f aca="false">Multiple_Regression!$B$6+Multiple_Regression!$B$7*Cleaned_Prepared_Data!F126+Multiple_Regression!$B$8*Cleaned_Prepared_Data!E126+Multiple_Regression!$B$9*Cleaned_Prepared_Data!I126+Multiple_Regression!$B$10*Cleaned_Prepared_Data!H126+Multiple_Regression!$B$11*Cleaned_Prepared_Data!G126+Multiple_Regression!$B$12*Dummy_Variables!D126+Multiple_Regression!$B$13*Dummy_Variables!E126+Multiple_Regression!$B$14*Dummy_Variables!F126</f>
        <v>851958.850061571</v>
      </c>
      <c r="G126" s="22" t="n">
        <f aca="false">E126-F126</f>
        <v>-9519.18006157118</v>
      </c>
    </row>
    <row r="127" customFormat="false" ht="15" hidden="false" customHeight="true" outlineLevel="0" collapsed="false">
      <c r="A127" s="9" t="str">
        <f aca="false">Cleaned_Prepared_Data!A127</f>
        <v>STR-1032</v>
      </c>
      <c r="B127" s="10" t="n">
        <f aca="false">Cleaned_Prepared_Data!B127</f>
        <v>45717</v>
      </c>
      <c r="C127" s="9" t="str">
        <f aca="false">Cleaned_Prepared_Data!C127</f>
        <v>South</v>
      </c>
      <c r="D127" s="9" t="str">
        <f aca="false">Cleaned_Prepared_Data!D127</f>
        <v>High Street</v>
      </c>
      <c r="E127" s="9" t="n">
        <f aca="false">Cleaned_Prepared_Data!M127</f>
        <v>842157.92</v>
      </c>
      <c r="F127" s="22" t="n">
        <f aca="false">Multiple_Regression!$B$6+Multiple_Regression!$B$7*Cleaned_Prepared_Data!F127+Multiple_Regression!$B$8*Cleaned_Prepared_Data!E127+Multiple_Regression!$B$9*Cleaned_Prepared_Data!I127+Multiple_Regression!$B$10*Cleaned_Prepared_Data!H127+Multiple_Regression!$B$11*Cleaned_Prepared_Data!G127+Multiple_Regression!$B$12*Dummy_Variables!D127+Multiple_Regression!$B$13*Dummy_Variables!E127+Multiple_Regression!$B$14*Dummy_Variables!F127</f>
        <v>772936.413064593</v>
      </c>
      <c r="G127" s="22" t="n">
        <f aca="false">E127-F127</f>
        <v>69221.5069354072</v>
      </c>
    </row>
    <row r="128" customFormat="false" ht="15" hidden="false" customHeight="true" outlineLevel="0" collapsed="false">
      <c r="A128" s="9" t="str">
        <f aca="false">Cleaned_Prepared_Data!A128</f>
        <v>STR-1032</v>
      </c>
      <c r="B128" s="10" t="n">
        <f aca="false">Cleaned_Prepared_Data!B128</f>
        <v>45748</v>
      </c>
      <c r="C128" s="9" t="str">
        <f aca="false">Cleaned_Prepared_Data!C128</f>
        <v>South</v>
      </c>
      <c r="D128" s="9" t="str">
        <f aca="false">Cleaned_Prepared_Data!D128</f>
        <v>High Street</v>
      </c>
      <c r="E128" s="9" t="n">
        <f aca="false">Cleaned_Prepared_Data!M128</f>
        <v>697155.3</v>
      </c>
      <c r="F128" s="22" t="n">
        <f aca="false">Multiple_Regression!$B$6+Multiple_Regression!$B$7*Cleaned_Prepared_Data!F128+Multiple_Regression!$B$8*Cleaned_Prepared_Data!E128+Multiple_Regression!$B$9*Cleaned_Prepared_Data!I128+Multiple_Regression!$B$10*Cleaned_Prepared_Data!H128+Multiple_Regression!$B$11*Cleaned_Prepared_Data!G128+Multiple_Regression!$B$12*Dummy_Variables!D128+Multiple_Regression!$B$13*Dummy_Variables!E128+Multiple_Regression!$B$14*Dummy_Variables!F128</f>
        <v>696896.842689939</v>
      </c>
      <c r="G128" s="22" t="n">
        <f aca="false">E128-F128</f>
        <v>258.457310061203</v>
      </c>
    </row>
    <row r="129" customFormat="false" ht="15" hidden="false" customHeight="true" outlineLevel="0" collapsed="false">
      <c r="A129" s="9" t="str">
        <f aca="false">Cleaned_Prepared_Data!A129</f>
        <v>STR-1033</v>
      </c>
      <c r="B129" s="10" t="n">
        <f aca="false">Cleaned_Prepared_Data!B129</f>
        <v>45658</v>
      </c>
      <c r="C129" s="9" t="str">
        <f aca="false">Cleaned_Prepared_Data!C129</f>
        <v>East</v>
      </c>
      <c r="D129" s="9" t="str">
        <f aca="false">Cleaned_Prepared_Data!D129</f>
        <v>High Street</v>
      </c>
      <c r="E129" s="9" t="n">
        <f aca="false">Cleaned_Prepared_Data!M129</f>
        <v>849018.3</v>
      </c>
      <c r="F129" s="22" t="n">
        <f aca="false">Multiple_Regression!$B$6+Multiple_Regression!$B$7*Cleaned_Prepared_Data!F129+Multiple_Regression!$B$8*Cleaned_Prepared_Data!E129+Multiple_Regression!$B$9*Cleaned_Prepared_Data!I129+Multiple_Regression!$B$10*Cleaned_Prepared_Data!H129+Multiple_Regression!$B$11*Cleaned_Prepared_Data!G129+Multiple_Regression!$B$12*Dummy_Variables!D129+Multiple_Regression!$B$13*Dummy_Variables!E129+Multiple_Regression!$B$14*Dummy_Variables!F129</f>
        <v>836886.231693196</v>
      </c>
      <c r="G129" s="22" t="n">
        <f aca="false">E129-F129</f>
        <v>12132.0683068041</v>
      </c>
    </row>
    <row r="130" customFormat="false" ht="15" hidden="false" customHeight="true" outlineLevel="0" collapsed="false">
      <c r="A130" s="9" t="str">
        <f aca="false">Cleaned_Prepared_Data!A130</f>
        <v>STR-1033</v>
      </c>
      <c r="B130" s="10" t="n">
        <f aca="false">Cleaned_Prepared_Data!B130</f>
        <v>45689</v>
      </c>
      <c r="C130" s="9" t="str">
        <f aca="false">Cleaned_Prepared_Data!C130</f>
        <v>East</v>
      </c>
      <c r="D130" s="9" t="str">
        <f aca="false">Cleaned_Prepared_Data!D130</f>
        <v>High Street</v>
      </c>
      <c r="E130" s="9" t="n">
        <f aca="false">Cleaned_Prepared_Data!M130</f>
        <v>801830.35</v>
      </c>
      <c r="F130" s="22" t="n">
        <f aca="false">Multiple_Regression!$B$6+Multiple_Regression!$B$7*Cleaned_Prepared_Data!F130+Multiple_Regression!$B$8*Cleaned_Prepared_Data!E130+Multiple_Regression!$B$9*Cleaned_Prepared_Data!I130+Multiple_Regression!$B$10*Cleaned_Prepared_Data!H130+Multiple_Regression!$B$11*Cleaned_Prepared_Data!G130+Multiple_Regression!$B$12*Dummy_Variables!D130+Multiple_Regression!$B$13*Dummy_Variables!E130+Multiple_Regression!$B$14*Dummy_Variables!F130</f>
        <v>809320.027252148</v>
      </c>
      <c r="G130" s="22" t="n">
        <f aca="false">E130-F130</f>
        <v>-7489.6772521477</v>
      </c>
    </row>
    <row r="131" customFormat="false" ht="15" hidden="false" customHeight="true" outlineLevel="0" collapsed="false">
      <c r="A131" s="9" t="str">
        <f aca="false">Cleaned_Prepared_Data!A131</f>
        <v>STR-1033</v>
      </c>
      <c r="B131" s="10" t="n">
        <f aca="false">Cleaned_Prepared_Data!B131</f>
        <v>45717</v>
      </c>
      <c r="C131" s="9" t="str">
        <f aca="false">Cleaned_Prepared_Data!C131</f>
        <v>East</v>
      </c>
      <c r="D131" s="9" t="str">
        <f aca="false">Cleaned_Prepared_Data!D131</f>
        <v>High Street</v>
      </c>
      <c r="E131" s="9" t="n">
        <f aca="false">Cleaned_Prepared_Data!M131</f>
        <v>725235.28</v>
      </c>
      <c r="F131" s="22" t="n">
        <f aca="false">Multiple_Regression!$B$6+Multiple_Regression!$B$7*Cleaned_Prepared_Data!F131+Multiple_Regression!$B$8*Cleaned_Prepared_Data!E131+Multiple_Regression!$B$9*Cleaned_Prepared_Data!I131+Multiple_Regression!$B$10*Cleaned_Prepared_Data!H131+Multiple_Regression!$B$11*Cleaned_Prepared_Data!G131+Multiple_Regression!$B$12*Dummy_Variables!D131+Multiple_Regression!$B$13*Dummy_Variables!E131+Multiple_Regression!$B$14*Dummy_Variables!F131</f>
        <v>784349.210447867</v>
      </c>
      <c r="G131" s="22" t="n">
        <f aca="false">E131-F131</f>
        <v>-59113.9304478673</v>
      </c>
    </row>
    <row r="132" customFormat="false" ht="15" hidden="false" customHeight="true" outlineLevel="0" collapsed="false">
      <c r="A132" s="9" t="str">
        <f aca="false">Cleaned_Prepared_Data!A132</f>
        <v>STR-1033</v>
      </c>
      <c r="B132" s="10" t="n">
        <f aca="false">Cleaned_Prepared_Data!B132</f>
        <v>45748</v>
      </c>
      <c r="C132" s="9" t="str">
        <f aca="false">Cleaned_Prepared_Data!C132</f>
        <v>East</v>
      </c>
      <c r="D132" s="9" t="str">
        <f aca="false">Cleaned_Prepared_Data!D132</f>
        <v>High Street</v>
      </c>
      <c r="E132" s="9" t="n">
        <f aca="false">Cleaned_Prepared_Data!M132</f>
        <v>811452.72</v>
      </c>
      <c r="F132" s="22" t="n">
        <f aca="false">Multiple_Regression!$B$6+Multiple_Regression!$B$7*Cleaned_Prepared_Data!F132+Multiple_Regression!$B$8*Cleaned_Prepared_Data!E132+Multiple_Regression!$B$9*Cleaned_Prepared_Data!I132+Multiple_Regression!$B$10*Cleaned_Prepared_Data!H132+Multiple_Regression!$B$11*Cleaned_Prepared_Data!G132+Multiple_Regression!$B$12*Dummy_Variables!D132+Multiple_Regression!$B$13*Dummy_Variables!E132+Multiple_Regression!$B$14*Dummy_Variables!F132</f>
        <v>831639.581223445</v>
      </c>
      <c r="G132" s="22" t="n">
        <f aca="false">E132-F132</f>
        <v>-20186.8612234448</v>
      </c>
    </row>
    <row r="133" customFormat="false" ht="15" hidden="false" customHeight="true" outlineLevel="0" collapsed="false">
      <c r="A133" s="9" t="str">
        <f aca="false">Cleaned_Prepared_Data!A133</f>
        <v>STR-1034</v>
      </c>
      <c r="B133" s="10" t="n">
        <f aca="false">Cleaned_Prepared_Data!B133</f>
        <v>45658</v>
      </c>
      <c r="C133" s="9" t="str">
        <f aca="false">Cleaned_Prepared_Data!C133</f>
        <v>North</v>
      </c>
      <c r="D133" s="9" t="str">
        <f aca="false">Cleaned_Prepared_Data!D133</f>
        <v>High Street</v>
      </c>
      <c r="E133" s="9" t="n">
        <f aca="false">Cleaned_Prepared_Data!M133</f>
        <v>527300.13</v>
      </c>
      <c r="F133" s="22" t="n">
        <f aca="false">Multiple_Regression!$B$6+Multiple_Regression!$B$7*Cleaned_Prepared_Data!F133+Multiple_Regression!$B$8*Cleaned_Prepared_Data!E133+Multiple_Regression!$B$9*Cleaned_Prepared_Data!I133+Multiple_Regression!$B$10*Cleaned_Prepared_Data!H133+Multiple_Regression!$B$11*Cleaned_Prepared_Data!G133+Multiple_Regression!$B$12*Dummy_Variables!D133+Multiple_Regression!$B$13*Dummy_Variables!E133+Multiple_Regression!$B$14*Dummy_Variables!F133</f>
        <v>577482.338981542</v>
      </c>
      <c r="G133" s="22" t="n">
        <f aca="false">E133-F133</f>
        <v>-50182.2089815416</v>
      </c>
    </row>
    <row r="134" customFormat="false" ht="15" hidden="false" customHeight="true" outlineLevel="0" collapsed="false">
      <c r="A134" s="9" t="str">
        <f aca="false">Cleaned_Prepared_Data!A134</f>
        <v>STR-1034</v>
      </c>
      <c r="B134" s="10" t="n">
        <f aca="false">Cleaned_Prepared_Data!B134</f>
        <v>45717</v>
      </c>
      <c r="C134" s="9" t="str">
        <f aca="false">Cleaned_Prepared_Data!C134</f>
        <v>North</v>
      </c>
      <c r="D134" s="9" t="str">
        <f aca="false">Cleaned_Prepared_Data!D134</f>
        <v>High Street</v>
      </c>
      <c r="E134" s="9" t="n">
        <f aca="false">Cleaned_Prepared_Data!M134</f>
        <v>593247.25</v>
      </c>
      <c r="F134" s="22" t="n">
        <f aca="false">Multiple_Regression!$B$6+Multiple_Regression!$B$7*Cleaned_Prepared_Data!F134+Multiple_Regression!$B$8*Cleaned_Prepared_Data!E134+Multiple_Regression!$B$9*Cleaned_Prepared_Data!I134+Multiple_Regression!$B$10*Cleaned_Prepared_Data!H134+Multiple_Regression!$B$11*Cleaned_Prepared_Data!G134+Multiple_Regression!$B$12*Dummy_Variables!D134+Multiple_Regression!$B$13*Dummy_Variables!E134+Multiple_Regression!$B$14*Dummy_Variables!F134</f>
        <v>600332.21752932</v>
      </c>
      <c r="G134" s="22" t="n">
        <f aca="false">E134-F134</f>
        <v>-7084.96752931993</v>
      </c>
    </row>
    <row r="135" customFormat="false" ht="15" hidden="false" customHeight="true" outlineLevel="0" collapsed="false">
      <c r="A135" s="9" t="str">
        <f aca="false">Cleaned_Prepared_Data!A135</f>
        <v>STR-1034</v>
      </c>
      <c r="B135" s="10" t="n">
        <f aca="false">Cleaned_Prepared_Data!B135</f>
        <v>45748</v>
      </c>
      <c r="C135" s="9" t="str">
        <f aca="false">Cleaned_Prepared_Data!C135</f>
        <v>North</v>
      </c>
      <c r="D135" s="9" t="str">
        <f aca="false">Cleaned_Prepared_Data!D135</f>
        <v>High Street</v>
      </c>
      <c r="E135" s="9" t="n">
        <f aca="false">Cleaned_Prepared_Data!M135</f>
        <v>529075.95</v>
      </c>
      <c r="F135" s="22" t="n">
        <f aca="false">Multiple_Regression!$B$6+Multiple_Regression!$B$7*Cleaned_Prepared_Data!F135+Multiple_Regression!$B$8*Cleaned_Prepared_Data!E135+Multiple_Regression!$B$9*Cleaned_Prepared_Data!I135+Multiple_Regression!$B$10*Cleaned_Prepared_Data!H135+Multiple_Regression!$B$11*Cleaned_Prepared_Data!G135+Multiple_Regression!$B$12*Dummy_Variables!D135+Multiple_Regression!$B$13*Dummy_Variables!E135+Multiple_Regression!$B$14*Dummy_Variables!F135</f>
        <v>543295.444829311</v>
      </c>
      <c r="G135" s="22" t="n">
        <f aca="false">E135-F135</f>
        <v>-14219.4948293112</v>
      </c>
    </row>
    <row r="136" customFormat="false" ht="15" hidden="false" customHeight="true" outlineLevel="0" collapsed="false">
      <c r="A136" s="9" t="str">
        <f aca="false">Cleaned_Prepared_Data!A136</f>
        <v>STR-1035</v>
      </c>
      <c r="B136" s="10" t="n">
        <f aca="false">Cleaned_Prepared_Data!B136</f>
        <v>45689</v>
      </c>
      <c r="C136" s="9" t="str">
        <f aca="false">Cleaned_Prepared_Data!C136</f>
        <v>South</v>
      </c>
      <c r="D136" s="9" t="str">
        <f aca="false">Cleaned_Prepared_Data!D136</f>
        <v>Residential</v>
      </c>
      <c r="E136" s="9" t="n">
        <f aca="false">Cleaned_Prepared_Data!M136</f>
        <v>743348.84</v>
      </c>
      <c r="F136" s="22" t="n">
        <f aca="false">Multiple_Regression!$B$6+Multiple_Regression!$B$7*Cleaned_Prepared_Data!F136+Multiple_Regression!$B$8*Cleaned_Prepared_Data!E136+Multiple_Regression!$B$9*Cleaned_Prepared_Data!I136+Multiple_Regression!$B$10*Cleaned_Prepared_Data!H136+Multiple_Regression!$B$11*Cleaned_Prepared_Data!G136+Multiple_Regression!$B$12*Dummy_Variables!D136+Multiple_Regression!$B$13*Dummy_Variables!E136+Multiple_Regression!$B$14*Dummy_Variables!F136</f>
        <v>700142.750867238</v>
      </c>
      <c r="G136" s="22" t="n">
        <f aca="false">E136-F136</f>
        <v>43206.0891327622</v>
      </c>
    </row>
    <row r="137" customFormat="false" ht="15" hidden="false" customHeight="true" outlineLevel="0" collapsed="false">
      <c r="A137" s="9" t="str">
        <f aca="false">Cleaned_Prepared_Data!A137</f>
        <v>STR-1035</v>
      </c>
      <c r="B137" s="10" t="n">
        <f aca="false">Cleaned_Prepared_Data!B137</f>
        <v>45717</v>
      </c>
      <c r="C137" s="9" t="str">
        <f aca="false">Cleaned_Prepared_Data!C137</f>
        <v>South</v>
      </c>
      <c r="D137" s="9" t="str">
        <f aca="false">Cleaned_Prepared_Data!D137</f>
        <v>Residential</v>
      </c>
      <c r="E137" s="9" t="n">
        <f aca="false">Cleaned_Prepared_Data!M137</f>
        <v>758827.64</v>
      </c>
      <c r="F137" s="22" t="n">
        <f aca="false">Multiple_Regression!$B$6+Multiple_Regression!$B$7*Cleaned_Prepared_Data!F137+Multiple_Regression!$B$8*Cleaned_Prepared_Data!E137+Multiple_Regression!$B$9*Cleaned_Prepared_Data!I137+Multiple_Regression!$B$10*Cleaned_Prepared_Data!H137+Multiple_Regression!$B$11*Cleaned_Prepared_Data!G137+Multiple_Regression!$B$12*Dummy_Variables!D137+Multiple_Regression!$B$13*Dummy_Variables!E137+Multiple_Regression!$B$14*Dummy_Variables!F137</f>
        <v>689093.543542975</v>
      </c>
      <c r="G137" s="22" t="n">
        <f aca="false">E137-F137</f>
        <v>69734.096457025</v>
      </c>
    </row>
    <row r="138" customFormat="false" ht="15" hidden="false" customHeight="true" outlineLevel="0" collapsed="false">
      <c r="A138" s="9" t="str">
        <f aca="false">Cleaned_Prepared_Data!A138</f>
        <v>STR-1035</v>
      </c>
      <c r="B138" s="10" t="n">
        <f aca="false">Cleaned_Prepared_Data!B138</f>
        <v>45748</v>
      </c>
      <c r="C138" s="9" t="str">
        <f aca="false">Cleaned_Prepared_Data!C138</f>
        <v>South</v>
      </c>
      <c r="D138" s="9" t="str">
        <f aca="false">Cleaned_Prepared_Data!D138</f>
        <v>Residential</v>
      </c>
      <c r="E138" s="9" t="n">
        <f aca="false">Cleaned_Prepared_Data!M138</f>
        <v>646559.71</v>
      </c>
      <c r="F138" s="22" t="n">
        <f aca="false">Multiple_Regression!$B$6+Multiple_Regression!$B$7*Cleaned_Prepared_Data!F138+Multiple_Regression!$B$8*Cleaned_Prepared_Data!E138+Multiple_Regression!$B$9*Cleaned_Prepared_Data!I138+Multiple_Regression!$B$10*Cleaned_Prepared_Data!H138+Multiple_Regression!$B$11*Cleaned_Prepared_Data!G138+Multiple_Regression!$B$12*Dummy_Variables!D138+Multiple_Regression!$B$13*Dummy_Variables!E138+Multiple_Regression!$B$14*Dummy_Variables!F138</f>
        <v>609896.996182128</v>
      </c>
      <c r="G138" s="22" t="n">
        <f aca="false">E138-F138</f>
        <v>36662.7138178719</v>
      </c>
    </row>
    <row r="139" customFormat="false" ht="15" hidden="false" customHeight="true" outlineLevel="0" collapsed="false">
      <c r="A139" s="9" t="str">
        <f aca="false">Cleaned_Prepared_Data!A139</f>
        <v>STR-1036</v>
      </c>
      <c r="B139" s="10" t="n">
        <f aca="false">Cleaned_Prepared_Data!B139</f>
        <v>45658</v>
      </c>
      <c r="C139" s="9" t="str">
        <f aca="false">Cleaned_Prepared_Data!C139</f>
        <v>West</v>
      </c>
      <c r="D139" s="9" t="str">
        <f aca="false">Cleaned_Prepared_Data!D139</f>
        <v>High Street</v>
      </c>
      <c r="E139" s="9" t="n">
        <f aca="false">Cleaned_Prepared_Data!M139</f>
        <v>715890.53</v>
      </c>
      <c r="F139" s="22" t="n">
        <f aca="false">Multiple_Regression!$B$6+Multiple_Regression!$B$7*Cleaned_Prepared_Data!F139+Multiple_Regression!$B$8*Cleaned_Prepared_Data!E139+Multiple_Regression!$B$9*Cleaned_Prepared_Data!I139+Multiple_Regression!$B$10*Cleaned_Prepared_Data!H139+Multiple_Regression!$B$11*Cleaned_Prepared_Data!G139+Multiple_Regression!$B$12*Dummy_Variables!D139+Multiple_Regression!$B$13*Dummy_Variables!E139+Multiple_Regression!$B$14*Dummy_Variables!F139</f>
        <v>660327.613655867</v>
      </c>
      <c r="G139" s="22" t="n">
        <f aca="false">E139-F139</f>
        <v>55562.9163441327</v>
      </c>
    </row>
    <row r="140" customFormat="false" ht="15" hidden="false" customHeight="true" outlineLevel="0" collapsed="false">
      <c r="A140" s="9" t="str">
        <f aca="false">Cleaned_Prepared_Data!A140</f>
        <v>STR-1036</v>
      </c>
      <c r="B140" s="10" t="n">
        <f aca="false">Cleaned_Prepared_Data!B140</f>
        <v>45689</v>
      </c>
      <c r="C140" s="9" t="str">
        <f aca="false">Cleaned_Prepared_Data!C140</f>
        <v>West</v>
      </c>
      <c r="D140" s="9" t="str">
        <f aca="false">Cleaned_Prepared_Data!D140</f>
        <v>High Street</v>
      </c>
      <c r="E140" s="9" t="n">
        <f aca="false">Cleaned_Prepared_Data!M140</f>
        <v>715097.57</v>
      </c>
      <c r="F140" s="22" t="n">
        <f aca="false">Multiple_Regression!$B$6+Multiple_Regression!$B$7*Cleaned_Prepared_Data!F140+Multiple_Regression!$B$8*Cleaned_Prepared_Data!E140+Multiple_Regression!$B$9*Cleaned_Prepared_Data!I140+Multiple_Regression!$B$10*Cleaned_Prepared_Data!H140+Multiple_Regression!$B$11*Cleaned_Prepared_Data!G140+Multiple_Regression!$B$12*Dummy_Variables!D140+Multiple_Regression!$B$13*Dummy_Variables!E140+Multiple_Regression!$B$14*Dummy_Variables!F140</f>
        <v>691140.164411645</v>
      </c>
      <c r="G140" s="22" t="n">
        <f aca="false">E140-F140</f>
        <v>23957.4055883555</v>
      </c>
    </row>
    <row r="141" customFormat="false" ht="15" hidden="false" customHeight="true" outlineLevel="0" collapsed="false">
      <c r="A141" s="9" t="str">
        <f aca="false">Cleaned_Prepared_Data!A141</f>
        <v>STR-1036</v>
      </c>
      <c r="B141" s="10" t="n">
        <f aca="false">Cleaned_Prepared_Data!B141</f>
        <v>45717</v>
      </c>
      <c r="C141" s="9" t="str">
        <f aca="false">Cleaned_Prepared_Data!C141</f>
        <v>West</v>
      </c>
      <c r="D141" s="9" t="str">
        <f aca="false">Cleaned_Prepared_Data!D141</f>
        <v>High Street</v>
      </c>
      <c r="E141" s="9" t="n">
        <f aca="false">Cleaned_Prepared_Data!M141</f>
        <v>682639.28</v>
      </c>
      <c r="F141" s="22" t="n">
        <f aca="false">Multiple_Regression!$B$6+Multiple_Regression!$B$7*Cleaned_Prepared_Data!F141+Multiple_Regression!$B$8*Cleaned_Prepared_Data!E141+Multiple_Regression!$B$9*Cleaned_Prepared_Data!I141+Multiple_Regression!$B$10*Cleaned_Prepared_Data!H141+Multiple_Regression!$B$11*Cleaned_Prepared_Data!G141+Multiple_Regression!$B$12*Dummy_Variables!D141+Multiple_Regression!$B$13*Dummy_Variables!E141+Multiple_Regression!$B$14*Dummy_Variables!F141</f>
        <v>648741.326853637</v>
      </c>
      <c r="G141" s="22" t="n">
        <f aca="false">E141-F141</f>
        <v>33897.9531463633</v>
      </c>
    </row>
    <row r="142" customFormat="false" ht="15" hidden="false" customHeight="true" outlineLevel="0" collapsed="false">
      <c r="A142" s="9" t="str">
        <f aca="false">Cleaned_Prepared_Data!A142</f>
        <v>STR-1036</v>
      </c>
      <c r="B142" s="10" t="n">
        <f aca="false">Cleaned_Prepared_Data!B142</f>
        <v>45748</v>
      </c>
      <c r="C142" s="9" t="str">
        <f aca="false">Cleaned_Prepared_Data!C142</f>
        <v>West</v>
      </c>
      <c r="D142" s="9" t="str">
        <f aca="false">Cleaned_Prepared_Data!D142</f>
        <v>High Street</v>
      </c>
      <c r="E142" s="9" t="n">
        <f aca="false">Cleaned_Prepared_Data!M142</f>
        <v>695098.51</v>
      </c>
      <c r="F142" s="22" t="n">
        <f aca="false">Multiple_Regression!$B$6+Multiple_Regression!$B$7*Cleaned_Prepared_Data!F142+Multiple_Regression!$B$8*Cleaned_Prepared_Data!E142+Multiple_Regression!$B$9*Cleaned_Prepared_Data!I142+Multiple_Regression!$B$10*Cleaned_Prepared_Data!H142+Multiple_Regression!$B$11*Cleaned_Prepared_Data!G142+Multiple_Regression!$B$12*Dummy_Variables!D142+Multiple_Regression!$B$13*Dummy_Variables!E142+Multiple_Regression!$B$14*Dummy_Variables!F142</f>
        <v>680498.893411304</v>
      </c>
      <c r="G142" s="22" t="n">
        <f aca="false">E142-F142</f>
        <v>14599.6165886965</v>
      </c>
    </row>
    <row r="143" customFormat="false" ht="15" hidden="false" customHeight="true" outlineLevel="0" collapsed="false">
      <c r="A143" s="9" t="str">
        <f aca="false">Cleaned_Prepared_Data!A143</f>
        <v>STR-1037</v>
      </c>
      <c r="B143" s="10" t="n">
        <f aca="false">Cleaned_Prepared_Data!B143</f>
        <v>45658</v>
      </c>
      <c r="C143" s="9" t="str">
        <f aca="false">Cleaned_Prepared_Data!C143</f>
        <v>North</v>
      </c>
      <c r="D143" s="9" t="str">
        <f aca="false">Cleaned_Prepared_Data!D143</f>
        <v>Residential</v>
      </c>
      <c r="E143" s="9" t="n">
        <f aca="false">Cleaned_Prepared_Data!M143</f>
        <v>577732.57</v>
      </c>
      <c r="F143" s="22" t="n">
        <f aca="false">Multiple_Regression!$B$6+Multiple_Regression!$B$7*Cleaned_Prepared_Data!F143+Multiple_Regression!$B$8*Cleaned_Prepared_Data!E143+Multiple_Regression!$B$9*Cleaned_Prepared_Data!I143+Multiple_Regression!$B$10*Cleaned_Prepared_Data!H143+Multiple_Regression!$B$11*Cleaned_Prepared_Data!G143+Multiple_Regression!$B$12*Dummy_Variables!D143+Multiple_Regression!$B$13*Dummy_Variables!E143+Multiple_Regression!$B$14*Dummy_Variables!F143</f>
        <v>608522.698530321</v>
      </c>
      <c r="G143" s="22" t="n">
        <f aca="false">E143-F143</f>
        <v>-30790.1285303209</v>
      </c>
    </row>
    <row r="144" customFormat="false" ht="15" hidden="false" customHeight="true" outlineLevel="0" collapsed="false">
      <c r="A144" s="9" t="str">
        <f aca="false">Cleaned_Prepared_Data!A144</f>
        <v>STR-1037</v>
      </c>
      <c r="B144" s="10" t="n">
        <f aca="false">Cleaned_Prepared_Data!B144</f>
        <v>45689</v>
      </c>
      <c r="C144" s="9" t="str">
        <f aca="false">Cleaned_Prepared_Data!C144</f>
        <v>North</v>
      </c>
      <c r="D144" s="9" t="str">
        <f aca="false">Cleaned_Prepared_Data!D144</f>
        <v>Residential</v>
      </c>
      <c r="E144" s="9" t="n">
        <f aca="false">Cleaned_Prepared_Data!M144</f>
        <v>537058.33</v>
      </c>
      <c r="F144" s="22" t="n">
        <f aca="false">Multiple_Regression!$B$6+Multiple_Regression!$B$7*Cleaned_Prepared_Data!F144+Multiple_Regression!$B$8*Cleaned_Prepared_Data!E144+Multiple_Regression!$B$9*Cleaned_Prepared_Data!I144+Multiple_Regression!$B$10*Cleaned_Prepared_Data!H144+Multiple_Regression!$B$11*Cleaned_Prepared_Data!G144+Multiple_Regression!$B$12*Dummy_Variables!D144+Multiple_Regression!$B$13*Dummy_Variables!E144+Multiple_Regression!$B$14*Dummy_Variables!F144</f>
        <v>571599.458294875</v>
      </c>
      <c r="G144" s="22" t="n">
        <f aca="false">E144-F144</f>
        <v>-34541.1282948746</v>
      </c>
    </row>
    <row r="145" customFormat="false" ht="15" hidden="false" customHeight="true" outlineLevel="0" collapsed="false">
      <c r="A145" s="9" t="str">
        <f aca="false">Cleaned_Prepared_Data!A145</f>
        <v>STR-1037</v>
      </c>
      <c r="B145" s="10" t="n">
        <f aca="false">Cleaned_Prepared_Data!B145</f>
        <v>45717</v>
      </c>
      <c r="C145" s="9" t="str">
        <f aca="false">Cleaned_Prepared_Data!C145</f>
        <v>North</v>
      </c>
      <c r="D145" s="9" t="str">
        <f aca="false">Cleaned_Prepared_Data!D145</f>
        <v>Residential</v>
      </c>
      <c r="E145" s="9" t="n">
        <f aca="false">Cleaned_Prepared_Data!M145</f>
        <v>601568.87</v>
      </c>
      <c r="F145" s="22" t="n">
        <f aca="false">Multiple_Regression!$B$6+Multiple_Regression!$B$7*Cleaned_Prepared_Data!F145+Multiple_Regression!$B$8*Cleaned_Prepared_Data!E145+Multiple_Regression!$B$9*Cleaned_Prepared_Data!I145+Multiple_Regression!$B$10*Cleaned_Prepared_Data!H145+Multiple_Regression!$B$11*Cleaned_Prepared_Data!G145+Multiple_Regression!$B$12*Dummy_Variables!D145+Multiple_Regression!$B$13*Dummy_Variables!E145+Multiple_Regression!$B$14*Dummy_Variables!F145</f>
        <v>606124.209989287</v>
      </c>
      <c r="G145" s="22" t="n">
        <f aca="false">E145-F145</f>
        <v>-4555.33998928685</v>
      </c>
    </row>
    <row r="146" customFormat="false" ht="15" hidden="false" customHeight="true" outlineLevel="0" collapsed="false">
      <c r="A146" s="9" t="str">
        <f aca="false">Cleaned_Prepared_Data!A146</f>
        <v>STR-1037</v>
      </c>
      <c r="B146" s="10" t="n">
        <f aca="false">Cleaned_Prepared_Data!B146</f>
        <v>45748</v>
      </c>
      <c r="C146" s="9" t="str">
        <f aca="false">Cleaned_Prepared_Data!C146</f>
        <v>North</v>
      </c>
      <c r="D146" s="9" t="str">
        <f aca="false">Cleaned_Prepared_Data!D146</f>
        <v>Residential</v>
      </c>
      <c r="E146" s="9" t="n">
        <f aca="false">Cleaned_Prepared_Data!M146</f>
        <v>570964.84</v>
      </c>
      <c r="F146" s="22" t="n">
        <f aca="false">Multiple_Regression!$B$6+Multiple_Regression!$B$7*Cleaned_Prepared_Data!F146+Multiple_Regression!$B$8*Cleaned_Prepared_Data!E146+Multiple_Regression!$B$9*Cleaned_Prepared_Data!I146+Multiple_Regression!$B$10*Cleaned_Prepared_Data!H146+Multiple_Regression!$B$11*Cleaned_Prepared_Data!G146+Multiple_Regression!$B$12*Dummy_Variables!D146+Multiple_Regression!$B$13*Dummy_Variables!E146+Multiple_Regression!$B$14*Dummy_Variables!F146</f>
        <v>570375.657153251</v>
      </c>
      <c r="G146" s="22" t="n">
        <f aca="false">E146-F146</f>
        <v>589.182846749085</v>
      </c>
    </row>
    <row r="147" customFormat="false" ht="15" hidden="false" customHeight="true" outlineLevel="0" collapsed="false">
      <c r="A147" s="9" t="str">
        <f aca="false">Cleaned_Prepared_Data!A147</f>
        <v>STR-1038</v>
      </c>
      <c r="B147" s="10" t="n">
        <f aca="false">Cleaned_Prepared_Data!B147</f>
        <v>45658</v>
      </c>
      <c r="C147" s="9" t="str">
        <f aca="false">Cleaned_Prepared_Data!C147</f>
        <v>South</v>
      </c>
      <c r="D147" s="9" t="str">
        <f aca="false">Cleaned_Prepared_Data!D147</f>
        <v>Mall</v>
      </c>
      <c r="E147" s="9" t="n">
        <f aca="false">Cleaned_Prepared_Data!M147</f>
        <v>614024.91</v>
      </c>
      <c r="F147" s="22" t="n">
        <f aca="false">Multiple_Regression!$B$6+Multiple_Regression!$B$7*Cleaned_Prepared_Data!F147+Multiple_Regression!$B$8*Cleaned_Prepared_Data!E147+Multiple_Regression!$B$9*Cleaned_Prepared_Data!I147+Multiple_Regression!$B$10*Cleaned_Prepared_Data!H147+Multiple_Regression!$B$11*Cleaned_Prepared_Data!G147+Multiple_Regression!$B$12*Dummy_Variables!D147+Multiple_Regression!$B$13*Dummy_Variables!E147+Multiple_Regression!$B$14*Dummy_Variables!F147</f>
        <v>656972.881095623</v>
      </c>
      <c r="G147" s="22" t="n">
        <f aca="false">E147-F147</f>
        <v>-42947.971095623</v>
      </c>
    </row>
    <row r="148" customFormat="false" ht="15" hidden="false" customHeight="true" outlineLevel="0" collapsed="false">
      <c r="A148" s="9" t="str">
        <f aca="false">Cleaned_Prepared_Data!A148</f>
        <v>STR-1038</v>
      </c>
      <c r="B148" s="10" t="n">
        <f aca="false">Cleaned_Prepared_Data!B148</f>
        <v>45689</v>
      </c>
      <c r="C148" s="9" t="str">
        <f aca="false">Cleaned_Prepared_Data!C148</f>
        <v>South</v>
      </c>
      <c r="D148" s="9" t="str">
        <f aca="false">Cleaned_Prepared_Data!D148</f>
        <v>Mall</v>
      </c>
      <c r="E148" s="9" t="n">
        <f aca="false">Cleaned_Prepared_Data!M148</f>
        <v>712868.35</v>
      </c>
      <c r="F148" s="22" t="n">
        <f aca="false">Multiple_Regression!$B$6+Multiple_Regression!$B$7*Cleaned_Prepared_Data!F148+Multiple_Regression!$B$8*Cleaned_Prepared_Data!E148+Multiple_Regression!$B$9*Cleaned_Prepared_Data!I148+Multiple_Regression!$B$10*Cleaned_Prepared_Data!H148+Multiple_Regression!$B$11*Cleaned_Prepared_Data!G148+Multiple_Regression!$B$12*Dummy_Variables!D148+Multiple_Regression!$B$13*Dummy_Variables!E148+Multiple_Regression!$B$14*Dummy_Variables!F148</f>
        <v>703200.052702935</v>
      </c>
      <c r="G148" s="22" t="n">
        <f aca="false">E148-F148</f>
        <v>9668.29729706538</v>
      </c>
    </row>
    <row r="149" customFormat="false" ht="15" hidden="false" customHeight="true" outlineLevel="0" collapsed="false">
      <c r="A149" s="9" t="str">
        <f aca="false">Cleaned_Prepared_Data!A149</f>
        <v>STR-1038</v>
      </c>
      <c r="B149" s="10" t="n">
        <f aca="false">Cleaned_Prepared_Data!B149</f>
        <v>45717</v>
      </c>
      <c r="C149" s="9" t="str">
        <f aca="false">Cleaned_Prepared_Data!C149</f>
        <v>South</v>
      </c>
      <c r="D149" s="9" t="str">
        <f aca="false">Cleaned_Prepared_Data!D149</f>
        <v>Mall</v>
      </c>
      <c r="E149" s="9" t="n">
        <f aca="false">Cleaned_Prepared_Data!M149</f>
        <v>696744.15</v>
      </c>
      <c r="F149" s="22" t="n">
        <f aca="false">Multiple_Regression!$B$6+Multiple_Regression!$B$7*Cleaned_Prepared_Data!F149+Multiple_Regression!$B$8*Cleaned_Prepared_Data!E149+Multiple_Regression!$B$9*Cleaned_Prepared_Data!I149+Multiple_Regression!$B$10*Cleaned_Prepared_Data!H149+Multiple_Regression!$B$11*Cleaned_Prepared_Data!G149+Multiple_Regression!$B$12*Dummy_Variables!D149+Multiple_Regression!$B$13*Dummy_Variables!E149+Multiple_Regression!$B$14*Dummy_Variables!F149</f>
        <v>661375.159047976</v>
      </c>
      <c r="G149" s="22" t="n">
        <f aca="false">E149-F149</f>
        <v>35368.9909520237</v>
      </c>
    </row>
    <row r="150" customFormat="false" ht="15" hidden="false" customHeight="true" outlineLevel="0" collapsed="false">
      <c r="A150" s="9" t="str">
        <f aca="false">Cleaned_Prepared_Data!A150</f>
        <v>STR-1038</v>
      </c>
      <c r="B150" s="10" t="n">
        <f aca="false">Cleaned_Prepared_Data!B150</f>
        <v>45748</v>
      </c>
      <c r="C150" s="9" t="str">
        <f aca="false">Cleaned_Prepared_Data!C150</f>
        <v>South</v>
      </c>
      <c r="D150" s="9" t="str">
        <f aca="false">Cleaned_Prepared_Data!D150</f>
        <v>Mall</v>
      </c>
      <c r="E150" s="9" t="n">
        <f aca="false">Cleaned_Prepared_Data!M150</f>
        <v>725847.99</v>
      </c>
      <c r="F150" s="22" t="n">
        <f aca="false">Multiple_Regression!$B$6+Multiple_Regression!$B$7*Cleaned_Prepared_Data!F150+Multiple_Regression!$B$8*Cleaned_Prepared_Data!E150+Multiple_Regression!$B$9*Cleaned_Prepared_Data!I150+Multiple_Regression!$B$10*Cleaned_Prepared_Data!H150+Multiple_Regression!$B$11*Cleaned_Prepared_Data!G150+Multiple_Regression!$B$12*Dummy_Variables!D150+Multiple_Regression!$B$13*Dummy_Variables!E150+Multiple_Regression!$B$14*Dummy_Variables!F150</f>
        <v>700718.610544274</v>
      </c>
      <c r="G150" s="22" t="n">
        <f aca="false">E150-F150</f>
        <v>25129.3794557258</v>
      </c>
    </row>
    <row r="151" customFormat="false" ht="15" hidden="false" customHeight="true" outlineLevel="0" collapsed="false">
      <c r="A151" s="9" t="str">
        <f aca="false">Cleaned_Prepared_Data!A151</f>
        <v>STR-1039</v>
      </c>
      <c r="B151" s="10" t="n">
        <f aca="false">Cleaned_Prepared_Data!B151</f>
        <v>45658</v>
      </c>
      <c r="C151" s="9" t="str">
        <f aca="false">Cleaned_Prepared_Data!C151</f>
        <v>East</v>
      </c>
      <c r="D151" s="9" t="str">
        <f aca="false">Cleaned_Prepared_Data!D151</f>
        <v>High Street</v>
      </c>
      <c r="E151" s="9" t="n">
        <f aca="false">Cleaned_Prepared_Data!M151</f>
        <v>785028.25</v>
      </c>
      <c r="F151" s="22" t="n">
        <f aca="false">Multiple_Regression!$B$6+Multiple_Regression!$B$7*Cleaned_Prepared_Data!F151+Multiple_Regression!$B$8*Cleaned_Prepared_Data!E151+Multiple_Regression!$B$9*Cleaned_Prepared_Data!I151+Multiple_Regression!$B$10*Cleaned_Prepared_Data!H151+Multiple_Regression!$B$11*Cleaned_Prepared_Data!G151+Multiple_Regression!$B$12*Dummy_Variables!D151+Multiple_Regression!$B$13*Dummy_Variables!E151+Multiple_Regression!$B$14*Dummy_Variables!F151</f>
        <v>796481.067032715</v>
      </c>
      <c r="G151" s="22" t="n">
        <f aca="false">E151-F151</f>
        <v>-11452.817032715</v>
      </c>
    </row>
    <row r="152" customFormat="false" ht="15" hidden="false" customHeight="true" outlineLevel="0" collapsed="false">
      <c r="A152" s="9" t="str">
        <f aca="false">Cleaned_Prepared_Data!A152</f>
        <v>STR-1039</v>
      </c>
      <c r="B152" s="10" t="n">
        <f aca="false">Cleaned_Prepared_Data!B152</f>
        <v>45689</v>
      </c>
      <c r="C152" s="9" t="str">
        <f aca="false">Cleaned_Prepared_Data!C152</f>
        <v>East</v>
      </c>
      <c r="D152" s="9" t="str">
        <f aca="false">Cleaned_Prepared_Data!D152</f>
        <v>High Street</v>
      </c>
      <c r="E152" s="9" t="n">
        <f aca="false">Cleaned_Prepared_Data!M152</f>
        <v>698492.67</v>
      </c>
      <c r="F152" s="22" t="n">
        <f aca="false">Multiple_Regression!$B$6+Multiple_Regression!$B$7*Cleaned_Prepared_Data!F152+Multiple_Regression!$B$8*Cleaned_Prepared_Data!E152+Multiple_Regression!$B$9*Cleaned_Prepared_Data!I152+Multiple_Regression!$B$10*Cleaned_Prepared_Data!H152+Multiple_Regression!$B$11*Cleaned_Prepared_Data!G152+Multiple_Regression!$B$12*Dummy_Variables!D152+Multiple_Regression!$B$13*Dummy_Variables!E152+Multiple_Regression!$B$14*Dummy_Variables!F152</f>
        <v>693593.93128001</v>
      </c>
      <c r="G152" s="22" t="n">
        <f aca="false">E152-F152</f>
        <v>4898.73871998978</v>
      </c>
    </row>
    <row r="153" customFormat="false" ht="15" hidden="false" customHeight="true" outlineLevel="0" collapsed="false">
      <c r="A153" s="9" t="str">
        <f aca="false">Cleaned_Prepared_Data!A153</f>
        <v>STR-1039</v>
      </c>
      <c r="B153" s="10" t="n">
        <f aca="false">Cleaned_Prepared_Data!B153</f>
        <v>45717</v>
      </c>
      <c r="C153" s="9" t="str">
        <f aca="false">Cleaned_Prepared_Data!C153</f>
        <v>East</v>
      </c>
      <c r="D153" s="9" t="str">
        <f aca="false">Cleaned_Prepared_Data!D153</f>
        <v>High Street</v>
      </c>
      <c r="E153" s="9" t="n">
        <f aca="false">Cleaned_Prepared_Data!M153</f>
        <v>685830.24</v>
      </c>
      <c r="F153" s="22" t="n">
        <f aca="false">Multiple_Regression!$B$6+Multiple_Regression!$B$7*Cleaned_Prepared_Data!F153+Multiple_Regression!$B$8*Cleaned_Prepared_Data!E153+Multiple_Regression!$B$9*Cleaned_Prepared_Data!I153+Multiple_Regression!$B$10*Cleaned_Prepared_Data!H153+Multiple_Regression!$B$11*Cleaned_Prepared_Data!G153+Multiple_Regression!$B$12*Dummy_Variables!D153+Multiple_Regression!$B$13*Dummy_Variables!E153+Multiple_Regression!$B$14*Dummy_Variables!F153</f>
        <v>723122.039992774</v>
      </c>
      <c r="G153" s="22" t="n">
        <f aca="false">E153-F153</f>
        <v>-37291.799992774</v>
      </c>
    </row>
    <row r="154" customFormat="false" ht="15" hidden="false" customHeight="true" outlineLevel="0" collapsed="false">
      <c r="A154" s="9" t="str">
        <f aca="false">Cleaned_Prepared_Data!A154</f>
        <v>STR-1039</v>
      </c>
      <c r="B154" s="10" t="n">
        <f aca="false">Cleaned_Prepared_Data!B154</f>
        <v>45748</v>
      </c>
      <c r="C154" s="9" t="str">
        <f aca="false">Cleaned_Prepared_Data!C154</f>
        <v>East</v>
      </c>
      <c r="D154" s="9" t="str">
        <f aca="false">Cleaned_Prepared_Data!D154</f>
        <v>High Street</v>
      </c>
      <c r="E154" s="9" t="n">
        <f aca="false">Cleaned_Prepared_Data!M154</f>
        <v>702318.94</v>
      </c>
      <c r="F154" s="22" t="n">
        <f aca="false">Multiple_Regression!$B$6+Multiple_Regression!$B$7*Cleaned_Prepared_Data!F154+Multiple_Regression!$B$8*Cleaned_Prepared_Data!E154+Multiple_Regression!$B$9*Cleaned_Prepared_Data!I154+Multiple_Regression!$B$10*Cleaned_Prepared_Data!H154+Multiple_Regression!$B$11*Cleaned_Prepared_Data!G154+Multiple_Regression!$B$12*Dummy_Variables!D154+Multiple_Regression!$B$13*Dummy_Variables!E154+Multiple_Regression!$B$14*Dummy_Variables!F154</f>
        <v>706619.18136638</v>
      </c>
      <c r="G154" s="22" t="n">
        <f aca="false">E154-F154</f>
        <v>-4300.24136637955</v>
      </c>
    </row>
    <row r="155" customFormat="false" ht="15" hidden="false" customHeight="true" outlineLevel="0" collapsed="false">
      <c r="A155" s="9" t="str">
        <f aca="false">Cleaned_Prepared_Data!A155</f>
        <v>STR-1040</v>
      </c>
      <c r="B155" s="10" t="n">
        <f aca="false">Cleaned_Prepared_Data!B155</f>
        <v>45658</v>
      </c>
      <c r="C155" s="9" t="str">
        <f aca="false">Cleaned_Prepared_Data!C155</f>
        <v>North</v>
      </c>
      <c r="D155" s="9" t="str">
        <f aca="false">Cleaned_Prepared_Data!D155</f>
        <v>Mall</v>
      </c>
      <c r="E155" s="9" t="n">
        <f aca="false">Cleaned_Prepared_Data!M155</f>
        <v>700078.32</v>
      </c>
      <c r="F155" s="22" t="n">
        <f aca="false">Multiple_Regression!$B$6+Multiple_Regression!$B$7*Cleaned_Prepared_Data!F155+Multiple_Regression!$B$8*Cleaned_Prepared_Data!E155+Multiple_Regression!$B$9*Cleaned_Prepared_Data!I155+Multiple_Regression!$B$10*Cleaned_Prepared_Data!H155+Multiple_Regression!$B$11*Cleaned_Prepared_Data!G155+Multiple_Regression!$B$12*Dummy_Variables!D155+Multiple_Regression!$B$13*Dummy_Variables!E155+Multiple_Regression!$B$14*Dummy_Variables!F155</f>
        <v>725605.940279497</v>
      </c>
      <c r="G155" s="22" t="n">
        <f aca="false">E155-F155</f>
        <v>-25527.6202794974</v>
      </c>
    </row>
    <row r="156" customFormat="false" ht="15" hidden="false" customHeight="true" outlineLevel="0" collapsed="false">
      <c r="A156" s="9" t="str">
        <f aca="false">Cleaned_Prepared_Data!A156</f>
        <v>STR-1040</v>
      </c>
      <c r="B156" s="10" t="n">
        <f aca="false">Cleaned_Prepared_Data!B156</f>
        <v>45689</v>
      </c>
      <c r="C156" s="9" t="str">
        <f aca="false">Cleaned_Prepared_Data!C156</f>
        <v>North</v>
      </c>
      <c r="D156" s="9" t="str">
        <f aca="false">Cleaned_Prepared_Data!D156</f>
        <v>Mall</v>
      </c>
      <c r="E156" s="9" t="n">
        <f aca="false">Cleaned_Prepared_Data!M156</f>
        <v>602002.32</v>
      </c>
      <c r="F156" s="22" t="n">
        <f aca="false">Multiple_Regression!$B$6+Multiple_Regression!$B$7*Cleaned_Prepared_Data!F156+Multiple_Regression!$B$8*Cleaned_Prepared_Data!E156+Multiple_Regression!$B$9*Cleaned_Prepared_Data!I156+Multiple_Regression!$B$10*Cleaned_Prepared_Data!H156+Multiple_Regression!$B$11*Cleaned_Prepared_Data!G156+Multiple_Regression!$B$12*Dummy_Variables!D156+Multiple_Regression!$B$13*Dummy_Variables!E156+Multiple_Regression!$B$14*Dummy_Variables!F156</f>
        <v>637831.303413349</v>
      </c>
      <c r="G156" s="22" t="n">
        <f aca="false">E156-F156</f>
        <v>-35828.9834133491</v>
      </c>
    </row>
    <row r="157" customFormat="false" ht="15" hidden="false" customHeight="true" outlineLevel="0" collapsed="false">
      <c r="A157" s="9" t="str">
        <f aca="false">Cleaned_Prepared_Data!A157</f>
        <v>STR-1040</v>
      </c>
      <c r="B157" s="10" t="n">
        <f aca="false">Cleaned_Prepared_Data!B157</f>
        <v>45717</v>
      </c>
      <c r="C157" s="9" t="str">
        <f aca="false">Cleaned_Prepared_Data!C157</f>
        <v>North</v>
      </c>
      <c r="D157" s="9" t="str">
        <f aca="false">Cleaned_Prepared_Data!D157</f>
        <v>Mall</v>
      </c>
      <c r="E157" s="9" t="n">
        <f aca="false">Cleaned_Prepared_Data!M157</f>
        <v>724216.07</v>
      </c>
      <c r="F157" s="22" t="n">
        <f aca="false">Multiple_Regression!$B$6+Multiple_Regression!$B$7*Cleaned_Prepared_Data!F157+Multiple_Regression!$B$8*Cleaned_Prepared_Data!E157+Multiple_Regression!$B$9*Cleaned_Prepared_Data!I157+Multiple_Regression!$B$10*Cleaned_Prepared_Data!H157+Multiple_Regression!$B$11*Cleaned_Prepared_Data!G157+Multiple_Regression!$B$12*Dummy_Variables!D157+Multiple_Regression!$B$13*Dummy_Variables!E157+Multiple_Regression!$B$14*Dummy_Variables!F157</f>
        <v>668230.301580498</v>
      </c>
      <c r="G157" s="22" t="n">
        <f aca="false">E157-F157</f>
        <v>55985.7684195023</v>
      </c>
    </row>
    <row r="158" customFormat="false" ht="15" hidden="false" customHeight="true" outlineLevel="0" collapsed="false">
      <c r="A158" s="9" t="str">
        <f aca="false">Cleaned_Prepared_Data!A158</f>
        <v>STR-1040</v>
      </c>
      <c r="B158" s="10" t="n">
        <f aca="false">Cleaned_Prepared_Data!B158</f>
        <v>45748</v>
      </c>
      <c r="C158" s="9" t="str">
        <f aca="false">Cleaned_Prepared_Data!C158</f>
        <v>North</v>
      </c>
      <c r="D158" s="9" t="str">
        <f aca="false">Cleaned_Prepared_Data!D158</f>
        <v>Mall</v>
      </c>
      <c r="E158" s="9" t="n">
        <f aca="false">Cleaned_Prepared_Data!M158</f>
        <v>620973.03</v>
      </c>
      <c r="F158" s="22" t="n">
        <f aca="false">Multiple_Regression!$B$6+Multiple_Regression!$B$7*Cleaned_Prepared_Data!F158+Multiple_Regression!$B$8*Cleaned_Prepared_Data!E158+Multiple_Regression!$B$9*Cleaned_Prepared_Data!I158+Multiple_Regression!$B$10*Cleaned_Prepared_Data!H158+Multiple_Regression!$B$11*Cleaned_Prepared_Data!G158+Multiple_Regression!$B$12*Dummy_Variables!D158+Multiple_Regression!$B$13*Dummy_Variables!E158+Multiple_Regression!$B$14*Dummy_Variables!F158</f>
        <v>575833.671312984</v>
      </c>
      <c r="G158" s="22" t="n">
        <f aca="false">E158-F158</f>
        <v>45139.3586870164</v>
      </c>
    </row>
    <row r="159" customFormat="false" ht="15" hidden="false" customHeight="true" outlineLevel="0" collapsed="false">
      <c r="A159" s="9" t="str">
        <f aca="false">Cleaned_Prepared_Data!A159</f>
        <v>STR-1041</v>
      </c>
      <c r="B159" s="10" t="n">
        <f aca="false">Cleaned_Prepared_Data!B159</f>
        <v>45658</v>
      </c>
      <c r="C159" s="9" t="str">
        <f aca="false">Cleaned_Prepared_Data!C159</f>
        <v>South</v>
      </c>
      <c r="D159" s="9" t="str">
        <f aca="false">Cleaned_Prepared_Data!D159</f>
        <v>High Street</v>
      </c>
      <c r="E159" s="9" t="n">
        <f aca="false">Cleaned_Prepared_Data!M159</f>
        <v>650480.06</v>
      </c>
      <c r="F159" s="22" t="n">
        <f aca="false">Multiple_Regression!$B$6+Multiple_Regression!$B$7*Cleaned_Prepared_Data!F159+Multiple_Regression!$B$8*Cleaned_Prepared_Data!E159+Multiple_Regression!$B$9*Cleaned_Prepared_Data!I159+Multiple_Regression!$B$10*Cleaned_Prepared_Data!H159+Multiple_Regression!$B$11*Cleaned_Prepared_Data!G159+Multiple_Regression!$B$12*Dummy_Variables!D159+Multiple_Regression!$B$13*Dummy_Variables!E159+Multiple_Regression!$B$14*Dummy_Variables!F159</f>
        <v>690939.255861427</v>
      </c>
      <c r="G159" s="22" t="n">
        <f aca="false">E159-F159</f>
        <v>-40459.1958614267</v>
      </c>
    </row>
    <row r="160" customFormat="false" ht="15" hidden="false" customHeight="true" outlineLevel="0" collapsed="false">
      <c r="A160" s="9" t="str">
        <f aca="false">Cleaned_Prepared_Data!A160</f>
        <v>STR-1041</v>
      </c>
      <c r="B160" s="10" t="n">
        <f aca="false">Cleaned_Prepared_Data!B160</f>
        <v>45689</v>
      </c>
      <c r="C160" s="9" t="str">
        <f aca="false">Cleaned_Prepared_Data!C160</f>
        <v>South</v>
      </c>
      <c r="D160" s="9" t="str">
        <f aca="false">Cleaned_Prepared_Data!D160</f>
        <v>High Street</v>
      </c>
      <c r="E160" s="9" t="n">
        <f aca="false">Cleaned_Prepared_Data!M160</f>
        <v>778298.88</v>
      </c>
      <c r="F160" s="22" t="n">
        <f aca="false">Multiple_Regression!$B$6+Multiple_Regression!$B$7*Cleaned_Prepared_Data!F160+Multiple_Regression!$B$8*Cleaned_Prepared_Data!E160+Multiple_Regression!$B$9*Cleaned_Prepared_Data!I160+Multiple_Regression!$B$10*Cleaned_Prepared_Data!H160+Multiple_Regression!$B$11*Cleaned_Prepared_Data!G160+Multiple_Regression!$B$12*Dummy_Variables!D160+Multiple_Regression!$B$13*Dummy_Variables!E160+Multiple_Regression!$B$14*Dummy_Variables!F160</f>
        <v>707123.941868964</v>
      </c>
      <c r="G160" s="22" t="n">
        <f aca="false">E160-F160</f>
        <v>71174.9381310361</v>
      </c>
    </row>
    <row r="161" customFormat="false" ht="15" hidden="false" customHeight="true" outlineLevel="0" collapsed="false">
      <c r="A161" s="9" t="str">
        <f aca="false">Cleaned_Prepared_Data!A161</f>
        <v>STR-1041</v>
      </c>
      <c r="B161" s="10" t="n">
        <f aca="false">Cleaned_Prepared_Data!B161</f>
        <v>45748</v>
      </c>
      <c r="C161" s="9" t="str">
        <f aca="false">Cleaned_Prepared_Data!C161</f>
        <v>South</v>
      </c>
      <c r="D161" s="9" t="str">
        <f aca="false">Cleaned_Prepared_Data!D161</f>
        <v>High Street</v>
      </c>
      <c r="E161" s="9" t="n">
        <f aca="false">Cleaned_Prepared_Data!M161</f>
        <v>692008.64</v>
      </c>
      <c r="F161" s="22" t="n">
        <f aca="false">Multiple_Regression!$B$6+Multiple_Regression!$B$7*Cleaned_Prepared_Data!F161+Multiple_Regression!$B$8*Cleaned_Prepared_Data!E161+Multiple_Regression!$B$9*Cleaned_Prepared_Data!I161+Multiple_Regression!$B$10*Cleaned_Prepared_Data!H161+Multiple_Regression!$B$11*Cleaned_Prepared_Data!G161+Multiple_Regression!$B$12*Dummy_Variables!D161+Multiple_Regression!$B$13*Dummy_Variables!E161+Multiple_Regression!$B$14*Dummy_Variables!F161</f>
        <v>704283.3934837</v>
      </c>
      <c r="G161" s="22" t="n">
        <f aca="false">E161-F161</f>
        <v>-12274.7534836996</v>
      </c>
    </row>
    <row r="162" customFormat="false" ht="15" hidden="false" customHeight="true" outlineLevel="0" collapsed="false">
      <c r="A162" s="9" t="str">
        <f aca="false">Cleaned_Prepared_Data!A162</f>
        <v>STR-1042</v>
      </c>
      <c r="B162" s="10" t="n">
        <f aca="false">Cleaned_Prepared_Data!B162</f>
        <v>45658</v>
      </c>
      <c r="C162" s="9" t="str">
        <f aca="false">Cleaned_Prepared_Data!C162</f>
        <v>North</v>
      </c>
      <c r="D162" s="9" t="str">
        <f aca="false">Cleaned_Prepared_Data!D162</f>
        <v>Mall</v>
      </c>
      <c r="E162" s="9" t="n">
        <f aca="false">Cleaned_Prepared_Data!M162</f>
        <v>825797.91</v>
      </c>
      <c r="F162" s="22" t="n">
        <f aca="false">Multiple_Regression!$B$6+Multiple_Regression!$B$7*Cleaned_Prepared_Data!F162+Multiple_Regression!$B$8*Cleaned_Prepared_Data!E162+Multiple_Regression!$B$9*Cleaned_Prepared_Data!I162+Multiple_Regression!$B$10*Cleaned_Prepared_Data!H162+Multiple_Regression!$B$11*Cleaned_Prepared_Data!G162+Multiple_Regression!$B$12*Dummy_Variables!D162+Multiple_Regression!$B$13*Dummy_Variables!E162+Multiple_Regression!$B$14*Dummy_Variables!F162</f>
        <v>787861.710211743</v>
      </c>
      <c r="G162" s="22" t="n">
        <f aca="false">E162-F162</f>
        <v>37936.1997882568</v>
      </c>
    </row>
    <row r="163" customFormat="false" ht="15" hidden="false" customHeight="true" outlineLevel="0" collapsed="false">
      <c r="A163" s="9" t="str">
        <f aca="false">Cleaned_Prepared_Data!A163</f>
        <v>STR-1042</v>
      </c>
      <c r="B163" s="10" t="n">
        <f aca="false">Cleaned_Prepared_Data!B163</f>
        <v>45689</v>
      </c>
      <c r="C163" s="9" t="str">
        <f aca="false">Cleaned_Prepared_Data!C163</f>
        <v>North</v>
      </c>
      <c r="D163" s="9" t="str">
        <f aca="false">Cleaned_Prepared_Data!D163</f>
        <v>Mall</v>
      </c>
      <c r="E163" s="9" t="n">
        <f aca="false">Cleaned_Prepared_Data!M163</f>
        <v>706285.52</v>
      </c>
      <c r="F163" s="22" t="n">
        <f aca="false">Multiple_Regression!$B$6+Multiple_Regression!$B$7*Cleaned_Prepared_Data!F163+Multiple_Regression!$B$8*Cleaned_Prepared_Data!E163+Multiple_Regression!$B$9*Cleaned_Prepared_Data!I163+Multiple_Regression!$B$10*Cleaned_Prepared_Data!H163+Multiple_Regression!$B$11*Cleaned_Prepared_Data!G163+Multiple_Regression!$B$12*Dummy_Variables!D163+Multiple_Regression!$B$13*Dummy_Variables!E163+Multiple_Regression!$B$14*Dummy_Variables!F163</f>
        <v>741233.653037115</v>
      </c>
      <c r="G163" s="22" t="n">
        <f aca="false">E163-F163</f>
        <v>-34948.1330371146</v>
      </c>
    </row>
    <row r="164" customFormat="false" ht="15" hidden="false" customHeight="true" outlineLevel="0" collapsed="false">
      <c r="A164" s="9" t="str">
        <f aca="false">Cleaned_Prepared_Data!A164</f>
        <v>STR-1042</v>
      </c>
      <c r="B164" s="10" t="n">
        <f aca="false">Cleaned_Prepared_Data!B164</f>
        <v>45717</v>
      </c>
      <c r="C164" s="9" t="str">
        <f aca="false">Cleaned_Prepared_Data!C164</f>
        <v>North</v>
      </c>
      <c r="D164" s="9" t="str">
        <f aca="false">Cleaned_Prepared_Data!D164</f>
        <v>Mall</v>
      </c>
      <c r="E164" s="9" t="n">
        <f aca="false">Cleaned_Prepared_Data!M164</f>
        <v>665534.7</v>
      </c>
      <c r="F164" s="22" t="n">
        <f aca="false">Multiple_Regression!$B$6+Multiple_Regression!$B$7*Cleaned_Prepared_Data!F164+Multiple_Regression!$B$8*Cleaned_Prepared_Data!E164+Multiple_Regression!$B$9*Cleaned_Prepared_Data!I164+Multiple_Regression!$B$10*Cleaned_Prepared_Data!H164+Multiple_Regression!$B$11*Cleaned_Prepared_Data!G164+Multiple_Regression!$B$12*Dummy_Variables!D164+Multiple_Regression!$B$13*Dummy_Variables!E164+Multiple_Regression!$B$14*Dummy_Variables!F164</f>
        <v>679975.370929086</v>
      </c>
      <c r="G164" s="22" t="n">
        <f aca="false">E164-F164</f>
        <v>-14440.6709290857</v>
      </c>
    </row>
    <row r="165" customFormat="false" ht="15" hidden="false" customHeight="true" outlineLevel="0" collapsed="false">
      <c r="A165" s="9" t="str">
        <f aca="false">Cleaned_Prepared_Data!A165</f>
        <v>STR-1042</v>
      </c>
      <c r="B165" s="10" t="n">
        <f aca="false">Cleaned_Prepared_Data!B165</f>
        <v>45748</v>
      </c>
      <c r="C165" s="9" t="str">
        <f aca="false">Cleaned_Prepared_Data!C165</f>
        <v>North</v>
      </c>
      <c r="D165" s="9" t="str">
        <f aca="false">Cleaned_Prepared_Data!D165</f>
        <v>Mall</v>
      </c>
      <c r="E165" s="9" t="n">
        <f aca="false">Cleaned_Prepared_Data!M165</f>
        <v>820729.29</v>
      </c>
      <c r="F165" s="22" t="n">
        <f aca="false">Multiple_Regression!$B$6+Multiple_Regression!$B$7*Cleaned_Prepared_Data!F165+Multiple_Regression!$B$8*Cleaned_Prepared_Data!E165+Multiple_Regression!$B$9*Cleaned_Prepared_Data!I165+Multiple_Regression!$B$10*Cleaned_Prepared_Data!H165+Multiple_Regression!$B$11*Cleaned_Prepared_Data!G165+Multiple_Regression!$B$12*Dummy_Variables!D165+Multiple_Regression!$B$13*Dummy_Variables!E165+Multiple_Regression!$B$14*Dummy_Variables!F165</f>
        <v>820928.946408767</v>
      </c>
      <c r="G165" s="22" t="n">
        <f aca="false">E165-F165</f>
        <v>-199.6564087671</v>
      </c>
    </row>
    <row r="166" customFormat="false" ht="15" hidden="false" customHeight="true" outlineLevel="0" collapsed="false">
      <c r="A166" s="9" t="str">
        <f aca="false">Cleaned_Prepared_Data!A166</f>
        <v>STR-1043</v>
      </c>
      <c r="B166" s="10" t="n">
        <f aca="false">Cleaned_Prepared_Data!B166</f>
        <v>45658</v>
      </c>
      <c r="C166" s="9" t="str">
        <f aca="false">Cleaned_Prepared_Data!C166</f>
        <v>East</v>
      </c>
      <c r="D166" s="9" t="str">
        <f aca="false">Cleaned_Prepared_Data!D166</f>
        <v>Residential</v>
      </c>
      <c r="E166" s="9" t="n">
        <f aca="false">Cleaned_Prepared_Data!M166</f>
        <v>739831.73</v>
      </c>
      <c r="F166" s="22" t="n">
        <f aca="false">Multiple_Regression!$B$6+Multiple_Regression!$B$7*Cleaned_Prepared_Data!F166+Multiple_Regression!$B$8*Cleaned_Prepared_Data!E166+Multiple_Regression!$B$9*Cleaned_Prepared_Data!I166+Multiple_Regression!$B$10*Cleaned_Prepared_Data!H166+Multiple_Regression!$B$11*Cleaned_Prepared_Data!G166+Multiple_Regression!$B$12*Dummy_Variables!D166+Multiple_Regression!$B$13*Dummy_Variables!E166+Multiple_Regression!$B$14*Dummy_Variables!F166</f>
        <v>772597.784223922</v>
      </c>
      <c r="G166" s="22" t="n">
        <f aca="false">E166-F166</f>
        <v>-32766.0542239224</v>
      </c>
    </row>
    <row r="167" customFormat="false" ht="15" hidden="false" customHeight="true" outlineLevel="0" collapsed="false">
      <c r="A167" s="9" t="str">
        <f aca="false">Cleaned_Prepared_Data!A167</f>
        <v>STR-1043</v>
      </c>
      <c r="B167" s="10" t="n">
        <f aca="false">Cleaned_Prepared_Data!B167</f>
        <v>45689</v>
      </c>
      <c r="C167" s="9" t="str">
        <f aca="false">Cleaned_Prepared_Data!C167</f>
        <v>East</v>
      </c>
      <c r="D167" s="9" t="str">
        <f aca="false">Cleaned_Prepared_Data!D167</f>
        <v>Residential</v>
      </c>
      <c r="E167" s="9" t="n">
        <f aca="false">Cleaned_Prepared_Data!M167</f>
        <v>593637.14</v>
      </c>
      <c r="F167" s="22" t="n">
        <f aca="false">Multiple_Regression!$B$6+Multiple_Regression!$B$7*Cleaned_Prepared_Data!F167+Multiple_Regression!$B$8*Cleaned_Prepared_Data!E167+Multiple_Regression!$B$9*Cleaned_Prepared_Data!I167+Multiple_Regression!$B$10*Cleaned_Prepared_Data!H167+Multiple_Regression!$B$11*Cleaned_Prepared_Data!G167+Multiple_Regression!$B$12*Dummy_Variables!D167+Multiple_Regression!$B$13*Dummy_Variables!E167+Multiple_Regression!$B$14*Dummy_Variables!F167</f>
        <v>653879.970848253</v>
      </c>
      <c r="G167" s="22" t="n">
        <f aca="false">E167-F167</f>
        <v>-60242.8308482529</v>
      </c>
    </row>
    <row r="168" customFormat="false" ht="15" hidden="false" customHeight="true" outlineLevel="0" collapsed="false">
      <c r="A168" s="9" t="str">
        <f aca="false">Cleaned_Prepared_Data!A168</f>
        <v>STR-1043</v>
      </c>
      <c r="B168" s="10" t="n">
        <f aca="false">Cleaned_Prepared_Data!B168</f>
        <v>45717</v>
      </c>
      <c r="C168" s="9" t="str">
        <f aca="false">Cleaned_Prepared_Data!C168</f>
        <v>East</v>
      </c>
      <c r="D168" s="9" t="str">
        <f aca="false">Cleaned_Prepared_Data!D168</f>
        <v>Residential</v>
      </c>
      <c r="E168" s="9" t="n">
        <f aca="false">Cleaned_Prepared_Data!M168</f>
        <v>769702.76</v>
      </c>
      <c r="F168" s="22" t="n">
        <f aca="false">Multiple_Regression!$B$6+Multiple_Regression!$B$7*Cleaned_Prepared_Data!F168+Multiple_Regression!$B$8*Cleaned_Prepared_Data!E168+Multiple_Regression!$B$9*Cleaned_Prepared_Data!I168+Multiple_Regression!$B$10*Cleaned_Prepared_Data!H168+Multiple_Regression!$B$11*Cleaned_Prepared_Data!G168+Multiple_Regression!$B$12*Dummy_Variables!D168+Multiple_Regression!$B$13*Dummy_Variables!E168+Multiple_Regression!$B$14*Dummy_Variables!F168</f>
        <v>728611.29022417</v>
      </c>
      <c r="G168" s="22" t="n">
        <f aca="false">E168-F168</f>
        <v>41091.4697758303</v>
      </c>
    </row>
    <row r="169" customFormat="false" ht="15" hidden="false" customHeight="true" outlineLevel="0" collapsed="false">
      <c r="A169" s="9" t="str">
        <f aca="false">Cleaned_Prepared_Data!A169</f>
        <v>STR-1043</v>
      </c>
      <c r="B169" s="10" t="n">
        <f aca="false">Cleaned_Prepared_Data!B169</f>
        <v>45748</v>
      </c>
      <c r="C169" s="9" t="str">
        <f aca="false">Cleaned_Prepared_Data!C169</f>
        <v>East</v>
      </c>
      <c r="D169" s="9" t="str">
        <f aca="false">Cleaned_Prepared_Data!D169</f>
        <v>Residential</v>
      </c>
      <c r="E169" s="9" t="n">
        <f aca="false">Cleaned_Prepared_Data!M169</f>
        <v>679731.57</v>
      </c>
      <c r="F169" s="22" t="n">
        <f aca="false">Multiple_Regression!$B$6+Multiple_Regression!$B$7*Cleaned_Prepared_Data!F169+Multiple_Regression!$B$8*Cleaned_Prepared_Data!E169+Multiple_Regression!$B$9*Cleaned_Prepared_Data!I169+Multiple_Regression!$B$10*Cleaned_Prepared_Data!H169+Multiple_Regression!$B$11*Cleaned_Prepared_Data!G169+Multiple_Regression!$B$12*Dummy_Variables!D169+Multiple_Regression!$B$13*Dummy_Variables!E169+Multiple_Regression!$B$14*Dummy_Variables!F169</f>
        <v>684218.007523255</v>
      </c>
      <c r="G169" s="22" t="n">
        <f aca="false">E169-F169</f>
        <v>-4486.43752325466</v>
      </c>
    </row>
    <row r="170" customFormat="false" ht="15" hidden="false" customHeight="true" outlineLevel="0" collapsed="false">
      <c r="A170" s="9" t="str">
        <f aca="false">Cleaned_Prepared_Data!A170</f>
        <v>STR-1044</v>
      </c>
      <c r="B170" s="10" t="n">
        <f aca="false">Cleaned_Prepared_Data!B170</f>
        <v>45658</v>
      </c>
      <c r="C170" s="9" t="str">
        <f aca="false">Cleaned_Prepared_Data!C170</f>
        <v>East</v>
      </c>
      <c r="D170" s="9" t="str">
        <f aca="false">Cleaned_Prepared_Data!D170</f>
        <v>Residential</v>
      </c>
      <c r="E170" s="9" t="n">
        <f aca="false">Cleaned_Prepared_Data!M170</f>
        <v>780344.18</v>
      </c>
      <c r="F170" s="22" t="n">
        <f aca="false">Multiple_Regression!$B$6+Multiple_Regression!$B$7*Cleaned_Prepared_Data!F170+Multiple_Regression!$B$8*Cleaned_Prepared_Data!E170+Multiple_Regression!$B$9*Cleaned_Prepared_Data!I170+Multiple_Regression!$B$10*Cleaned_Prepared_Data!H170+Multiple_Regression!$B$11*Cleaned_Prepared_Data!G170+Multiple_Regression!$B$12*Dummy_Variables!D170+Multiple_Regression!$B$13*Dummy_Variables!E170+Multiple_Regression!$B$14*Dummy_Variables!F170</f>
        <v>764211.222945607</v>
      </c>
      <c r="G170" s="22" t="n">
        <f aca="false">E170-F170</f>
        <v>16132.9570543928</v>
      </c>
    </row>
    <row r="171" customFormat="false" ht="15" hidden="false" customHeight="true" outlineLevel="0" collapsed="false">
      <c r="A171" s="9" t="str">
        <f aca="false">Cleaned_Prepared_Data!A171</f>
        <v>STR-1044</v>
      </c>
      <c r="B171" s="10" t="n">
        <f aca="false">Cleaned_Prepared_Data!B171</f>
        <v>45689</v>
      </c>
      <c r="C171" s="9" t="str">
        <f aca="false">Cleaned_Prepared_Data!C171</f>
        <v>East</v>
      </c>
      <c r="D171" s="9" t="str">
        <f aca="false">Cleaned_Prepared_Data!D171</f>
        <v>Residential</v>
      </c>
      <c r="E171" s="9" t="n">
        <f aca="false">Cleaned_Prepared_Data!M171</f>
        <v>721364.11</v>
      </c>
      <c r="F171" s="22" t="n">
        <f aca="false">Multiple_Regression!$B$6+Multiple_Regression!$B$7*Cleaned_Prepared_Data!F171+Multiple_Regression!$B$8*Cleaned_Prepared_Data!E171+Multiple_Regression!$B$9*Cleaned_Prepared_Data!I171+Multiple_Regression!$B$10*Cleaned_Prepared_Data!H171+Multiple_Regression!$B$11*Cleaned_Prepared_Data!G171+Multiple_Regression!$B$12*Dummy_Variables!D171+Multiple_Regression!$B$13*Dummy_Variables!E171+Multiple_Regression!$B$14*Dummy_Variables!F171</f>
        <v>753387.972175174</v>
      </c>
      <c r="G171" s="22" t="n">
        <f aca="false">E171-F171</f>
        <v>-32023.8621751743</v>
      </c>
    </row>
    <row r="172" customFormat="false" ht="15" hidden="false" customHeight="true" outlineLevel="0" collapsed="false">
      <c r="A172" s="9" t="str">
        <f aca="false">Cleaned_Prepared_Data!A172</f>
        <v>STR-1044</v>
      </c>
      <c r="B172" s="10" t="n">
        <f aca="false">Cleaned_Prepared_Data!B172</f>
        <v>45717</v>
      </c>
      <c r="C172" s="9" t="str">
        <f aca="false">Cleaned_Prepared_Data!C172</f>
        <v>East</v>
      </c>
      <c r="D172" s="9" t="str">
        <f aca="false">Cleaned_Prepared_Data!D172</f>
        <v>Residential</v>
      </c>
      <c r="E172" s="9" t="n">
        <f aca="false">Cleaned_Prepared_Data!M172</f>
        <v>758138.29</v>
      </c>
      <c r="F172" s="22" t="n">
        <f aca="false">Multiple_Regression!$B$6+Multiple_Regression!$B$7*Cleaned_Prepared_Data!F172+Multiple_Regression!$B$8*Cleaned_Prepared_Data!E172+Multiple_Regression!$B$9*Cleaned_Prepared_Data!I172+Multiple_Regression!$B$10*Cleaned_Prepared_Data!H172+Multiple_Regression!$B$11*Cleaned_Prepared_Data!G172+Multiple_Regression!$B$12*Dummy_Variables!D172+Multiple_Regression!$B$13*Dummy_Variables!E172+Multiple_Regression!$B$14*Dummy_Variables!F172</f>
        <v>770512.696674716</v>
      </c>
      <c r="G172" s="22" t="n">
        <f aca="false">E172-F172</f>
        <v>-12374.4066747159</v>
      </c>
    </row>
    <row r="173" customFormat="false" ht="15" hidden="false" customHeight="true" outlineLevel="0" collapsed="false">
      <c r="A173" s="9" t="str">
        <f aca="false">Cleaned_Prepared_Data!A173</f>
        <v>STR-1044</v>
      </c>
      <c r="B173" s="10" t="n">
        <f aca="false">Cleaned_Prepared_Data!B173</f>
        <v>45748</v>
      </c>
      <c r="C173" s="9" t="str">
        <f aca="false">Cleaned_Prepared_Data!C173</f>
        <v>East</v>
      </c>
      <c r="D173" s="9" t="str">
        <f aca="false">Cleaned_Prepared_Data!D173</f>
        <v>Residential</v>
      </c>
      <c r="E173" s="9" t="n">
        <f aca="false">Cleaned_Prepared_Data!M173</f>
        <v>804264</v>
      </c>
      <c r="F173" s="22" t="n">
        <f aca="false">Multiple_Regression!$B$6+Multiple_Regression!$B$7*Cleaned_Prepared_Data!F173+Multiple_Regression!$B$8*Cleaned_Prepared_Data!E173+Multiple_Regression!$B$9*Cleaned_Prepared_Data!I173+Multiple_Regression!$B$10*Cleaned_Prepared_Data!H173+Multiple_Regression!$B$11*Cleaned_Prepared_Data!G173+Multiple_Regression!$B$12*Dummy_Variables!D173+Multiple_Regression!$B$13*Dummy_Variables!E173+Multiple_Regression!$B$14*Dummy_Variables!F173</f>
        <v>816036.705198361</v>
      </c>
      <c r="G173" s="22" t="n">
        <f aca="false">E173-F173</f>
        <v>-11772.7051983614</v>
      </c>
    </row>
    <row r="174" customFormat="false" ht="15" hidden="false" customHeight="true" outlineLevel="0" collapsed="false">
      <c r="A174" s="9" t="str">
        <f aca="false">Cleaned_Prepared_Data!A174</f>
        <v>STR-1045</v>
      </c>
      <c r="B174" s="10" t="n">
        <f aca="false">Cleaned_Prepared_Data!B174</f>
        <v>45658</v>
      </c>
      <c r="C174" s="9" t="str">
        <f aca="false">Cleaned_Prepared_Data!C174</f>
        <v>West</v>
      </c>
      <c r="D174" s="9" t="str">
        <f aca="false">Cleaned_Prepared_Data!D174</f>
        <v>Airport</v>
      </c>
      <c r="E174" s="9" t="n">
        <f aca="false">Cleaned_Prepared_Data!M174</f>
        <v>887537.75</v>
      </c>
      <c r="F174" s="22" t="n">
        <f aca="false">Multiple_Regression!$B$6+Multiple_Regression!$B$7*Cleaned_Prepared_Data!F174+Multiple_Regression!$B$8*Cleaned_Prepared_Data!E174+Multiple_Regression!$B$9*Cleaned_Prepared_Data!I174+Multiple_Regression!$B$10*Cleaned_Prepared_Data!H174+Multiple_Regression!$B$11*Cleaned_Prepared_Data!G174+Multiple_Regression!$B$12*Dummy_Variables!D174+Multiple_Regression!$B$13*Dummy_Variables!E174+Multiple_Regression!$B$14*Dummy_Variables!F174</f>
        <v>873875.836108907</v>
      </c>
      <c r="G174" s="22" t="n">
        <f aca="false">E174-F174</f>
        <v>13661.9138910933</v>
      </c>
    </row>
    <row r="175" customFormat="false" ht="15" hidden="false" customHeight="true" outlineLevel="0" collapsed="false">
      <c r="A175" s="9" t="str">
        <f aca="false">Cleaned_Prepared_Data!A175</f>
        <v>STR-1045</v>
      </c>
      <c r="B175" s="10" t="n">
        <f aca="false">Cleaned_Prepared_Data!B175</f>
        <v>45689</v>
      </c>
      <c r="C175" s="9" t="str">
        <f aca="false">Cleaned_Prepared_Data!C175</f>
        <v>West</v>
      </c>
      <c r="D175" s="9" t="str">
        <f aca="false">Cleaned_Prepared_Data!D175</f>
        <v>Airport</v>
      </c>
      <c r="E175" s="9" t="n">
        <f aca="false">Cleaned_Prepared_Data!M175</f>
        <v>783582</v>
      </c>
      <c r="F175" s="22" t="n">
        <f aca="false">Multiple_Regression!$B$6+Multiple_Regression!$B$7*Cleaned_Prepared_Data!F175+Multiple_Regression!$B$8*Cleaned_Prepared_Data!E175+Multiple_Regression!$B$9*Cleaned_Prepared_Data!I175+Multiple_Regression!$B$10*Cleaned_Prepared_Data!H175+Multiple_Regression!$B$11*Cleaned_Prepared_Data!G175+Multiple_Regression!$B$12*Dummy_Variables!D175+Multiple_Regression!$B$13*Dummy_Variables!E175+Multiple_Regression!$B$14*Dummy_Variables!F175</f>
        <v>727601.773625303</v>
      </c>
      <c r="G175" s="22" t="n">
        <f aca="false">E175-F175</f>
        <v>55980.2263746973</v>
      </c>
    </row>
    <row r="176" customFormat="false" ht="15" hidden="false" customHeight="true" outlineLevel="0" collapsed="false">
      <c r="A176" s="9" t="str">
        <f aca="false">Cleaned_Prepared_Data!A176</f>
        <v>STR-1045</v>
      </c>
      <c r="B176" s="10" t="n">
        <f aca="false">Cleaned_Prepared_Data!B176</f>
        <v>45717</v>
      </c>
      <c r="C176" s="9" t="str">
        <f aca="false">Cleaned_Prepared_Data!C176</f>
        <v>West</v>
      </c>
      <c r="D176" s="9" t="str">
        <f aca="false">Cleaned_Prepared_Data!D176</f>
        <v>Airport</v>
      </c>
      <c r="E176" s="9" t="n">
        <f aca="false">Cleaned_Prepared_Data!M176</f>
        <v>781955.52</v>
      </c>
      <c r="F176" s="22" t="n">
        <f aca="false">Multiple_Regression!$B$6+Multiple_Regression!$B$7*Cleaned_Prepared_Data!F176+Multiple_Regression!$B$8*Cleaned_Prepared_Data!E176+Multiple_Regression!$B$9*Cleaned_Prepared_Data!I176+Multiple_Regression!$B$10*Cleaned_Prepared_Data!H176+Multiple_Regression!$B$11*Cleaned_Prepared_Data!G176+Multiple_Regression!$B$12*Dummy_Variables!D176+Multiple_Regression!$B$13*Dummy_Variables!E176+Multiple_Regression!$B$14*Dummy_Variables!F176</f>
        <v>763172.614307456</v>
      </c>
      <c r="G176" s="22" t="n">
        <f aca="false">E176-F176</f>
        <v>18782.9056925438</v>
      </c>
    </row>
    <row r="177" customFormat="false" ht="15" hidden="false" customHeight="true" outlineLevel="0" collapsed="false">
      <c r="A177" s="9" t="str">
        <f aca="false">Cleaned_Prepared_Data!A177</f>
        <v>STR-1045</v>
      </c>
      <c r="B177" s="10" t="n">
        <f aca="false">Cleaned_Prepared_Data!B177</f>
        <v>45748</v>
      </c>
      <c r="C177" s="9" t="str">
        <f aca="false">Cleaned_Prepared_Data!C177</f>
        <v>West</v>
      </c>
      <c r="D177" s="9" t="str">
        <f aca="false">Cleaned_Prepared_Data!D177</f>
        <v>Airport</v>
      </c>
      <c r="E177" s="9" t="n">
        <f aca="false">Cleaned_Prepared_Data!M177</f>
        <v>898031.04</v>
      </c>
      <c r="F177" s="22" t="n">
        <f aca="false">Multiple_Regression!$B$6+Multiple_Regression!$B$7*Cleaned_Prepared_Data!F177+Multiple_Regression!$B$8*Cleaned_Prepared_Data!E177+Multiple_Regression!$B$9*Cleaned_Prepared_Data!I177+Multiple_Regression!$B$10*Cleaned_Prepared_Data!H177+Multiple_Regression!$B$11*Cleaned_Prepared_Data!G177+Multiple_Regression!$B$12*Dummy_Variables!D177+Multiple_Regression!$B$13*Dummy_Variables!E177+Multiple_Regression!$B$14*Dummy_Variables!F177</f>
        <v>842647.3009528</v>
      </c>
      <c r="G177" s="22" t="n">
        <f aca="false">E177-F177</f>
        <v>55383.7390471997</v>
      </c>
    </row>
    <row r="178" customFormat="false" ht="15" hidden="false" customHeight="true" outlineLevel="0" collapsed="false">
      <c r="A178" s="9" t="str">
        <f aca="false">Cleaned_Prepared_Data!A178</f>
        <v>STR-1046</v>
      </c>
      <c r="B178" s="10" t="n">
        <f aca="false">Cleaned_Prepared_Data!B178</f>
        <v>45658</v>
      </c>
      <c r="C178" s="9" t="str">
        <f aca="false">Cleaned_Prepared_Data!C178</f>
        <v>West</v>
      </c>
      <c r="D178" s="9" t="str">
        <f aca="false">Cleaned_Prepared_Data!D178</f>
        <v>Residential</v>
      </c>
      <c r="E178" s="9" t="n">
        <f aca="false">Cleaned_Prepared_Data!M178</f>
        <v>855341.28</v>
      </c>
      <c r="F178" s="22" t="n">
        <f aca="false">Multiple_Regression!$B$6+Multiple_Regression!$B$7*Cleaned_Prepared_Data!F178+Multiple_Regression!$B$8*Cleaned_Prepared_Data!E178+Multiple_Regression!$B$9*Cleaned_Prepared_Data!I178+Multiple_Regression!$B$10*Cleaned_Prepared_Data!H178+Multiple_Regression!$B$11*Cleaned_Prepared_Data!G178+Multiple_Regression!$B$12*Dummy_Variables!D178+Multiple_Regression!$B$13*Dummy_Variables!E178+Multiple_Regression!$B$14*Dummy_Variables!F178</f>
        <v>842890.627216657</v>
      </c>
      <c r="G178" s="22" t="n">
        <f aca="false">E178-F178</f>
        <v>12450.6527833428</v>
      </c>
    </row>
    <row r="179" customFormat="false" ht="15" hidden="false" customHeight="true" outlineLevel="0" collapsed="false">
      <c r="A179" s="9" t="str">
        <f aca="false">Cleaned_Prepared_Data!A179</f>
        <v>STR-1046</v>
      </c>
      <c r="B179" s="10" t="n">
        <f aca="false">Cleaned_Prepared_Data!B179</f>
        <v>45689</v>
      </c>
      <c r="C179" s="9" t="str">
        <f aca="false">Cleaned_Prepared_Data!C179</f>
        <v>West</v>
      </c>
      <c r="D179" s="9" t="str">
        <f aca="false">Cleaned_Prepared_Data!D179</f>
        <v>Residential</v>
      </c>
      <c r="E179" s="9" t="n">
        <f aca="false">Cleaned_Prepared_Data!M179</f>
        <v>751393.88</v>
      </c>
      <c r="F179" s="22" t="n">
        <f aca="false">Multiple_Regression!$B$6+Multiple_Regression!$B$7*Cleaned_Prepared_Data!F179+Multiple_Regression!$B$8*Cleaned_Prepared_Data!E179+Multiple_Regression!$B$9*Cleaned_Prepared_Data!I179+Multiple_Regression!$B$10*Cleaned_Prepared_Data!H179+Multiple_Regression!$B$11*Cleaned_Prepared_Data!G179+Multiple_Regression!$B$12*Dummy_Variables!D179+Multiple_Regression!$B$13*Dummy_Variables!E179+Multiple_Regression!$B$14*Dummy_Variables!F179</f>
        <v>740356.842447403</v>
      </c>
      <c r="G179" s="22" t="n">
        <f aca="false">E179-F179</f>
        <v>11037.0375525967</v>
      </c>
    </row>
    <row r="180" customFormat="false" ht="15" hidden="false" customHeight="true" outlineLevel="0" collapsed="false">
      <c r="A180" s="9" t="str">
        <f aca="false">Cleaned_Prepared_Data!A180</f>
        <v>STR-1046</v>
      </c>
      <c r="B180" s="10" t="n">
        <f aca="false">Cleaned_Prepared_Data!B180</f>
        <v>45717</v>
      </c>
      <c r="C180" s="9" t="str">
        <f aca="false">Cleaned_Prepared_Data!C180</f>
        <v>West</v>
      </c>
      <c r="D180" s="9" t="str">
        <f aca="false">Cleaned_Prepared_Data!D180</f>
        <v>Residential</v>
      </c>
      <c r="E180" s="9" t="n">
        <f aca="false">Cleaned_Prepared_Data!M180</f>
        <v>761077.08</v>
      </c>
      <c r="F180" s="22" t="n">
        <f aca="false">Multiple_Regression!$B$6+Multiple_Regression!$B$7*Cleaned_Prepared_Data!F180+Multiple_Regression!$B$8*Cleaned_Prepared_Data!E180+Multiple_Regression!$B$9*Cleaned_Prepared_Data!I180+Multiple_Regression!$B$10*Cleaned_Prepared_Data!H180+Multiple_Regression!$B$11*Cleaned_Prepared_Data!G180+Multiple_Regression!$B$12*Dummy_Variables!D180+Multiple_Regression!$B$13*Dummy_Variables!E180+Multiple_Regression!$B$14*Dummy_Variables!F180</f>
        <v>755506.527871027</v>
      </c>
      <c r="G180" s="22" t="n">
        <f aca="false">E180-F180</f>
        <v>5570.55212897295</v>
      </c>
    </row>
    <row r="181" customFormat="false" ht="15" hidden="false" customHeight="true" outlineLevel="0" collapsed="false">
      <c r="A181" s="9" t="str">
        <f aca="false">Cleaned_Prepared_Data!A181</f>
        <v>STR-1046</v>
      </c>
      <c r="B181" s="10" t="n">
        <f aca="false">Cleaned_Prepared_Data!B181</f>
        <v>45748</v>
      </c>
      <c r="C181" s="9" t="str">
        <f aca="false">Cleaned_Prepared_Data!C181</f>
        <v>West</v>
      </c>
      <c r="D181" s="9" t="str">
        <f aca="false">Cleaned_Prepared_Data!D181</f>
        <v>Residential</v>
      </c>
      <c r="E181" s="9" t="n">
        <f aca="false">Cleaned_Prepared_Data!M181</f>
        <v>819660.59</v>
      </c>
      <c r="F181" s="22" t="n">
        <f aca="false">Multiple_Regression!$B$6+Multiple_Regression!$B$7*Cleaned_Prepared_Data!F181+Multiple_Regression!$B$8*Cleaned_Prepared_Data!E181+Multiple_Regression!$B$9*Cleaned_Prepared_Data!I181+Multiple_Regression!$B$10*Cleaned_Prepared_Data!H181+Multiple_Regression!$B$11*Cleaned_Prepared_Data!G181+Multiple_Regression!$B$12*Dummy_Variables!D181+Multiple_Regression!$B$13*Dummy_Variables!E181+Multiple_Regression!$B$14*Dummy_Variables!F181</f>
        <v>819597.990137205</v>
      </c>
      <c r="G181" s="22" t="n">
        <f aca="false">E181-F181</f>
        <v>62.5998627947411</v>
      </c>
    </row>
    <row r="182" customFormat="false" ht="15" hidden="false" customHeight="true" outlineLevel="0" collapsed="false">
      <c r="A182" s="9" t="str">
        <f aca="false">Cleaned_Prepared_Data!A182</f>
        <v>STR-1047</v>
      </c>
      <c r="B182" s="10" t="n">
        <f aca="false">Cleaned_Prepared_Data!B182</f>
        <v>45658</v>
      </c>
      <c r="C182" s="9" t="str">
        <f aca="false">Cleaned_Prepared_Data!C182</f>
        <v>North</v>
      </c>
      <c r="D182" s="9" t="str">
        <f aca="false">Cleaned_Prepared_Data!D182</f>
        <v>High Street</v>
      </c>
      <c r="E182" s="9" t="n">
        <f aca="false">Cleaned_Prepared_Data!M182</f>
        <v>681855.56</v>
      </c>
      <c r="F182" s="22" t="n">
        <f aca="false">Multiple_Regression!$B$6+Multiple_Regression!$B$7*Cleaned_Prepared_Data!F182+Multiple_Regression!$B$8*Cleaned_Prepared_Data!E182+Multiple_Regression!$B$9*Cleaned_Prepared_Data!I182+Multiple_Regression!$B$10*Cleaned_Prepared_Data!H182+Multiple_Regression!$B$11*Cleaned_Prepared_Data!G182+Multiple_Regression!$B$12*Dummy_Variables!D182+Multiple_Regression!$B$13*Dummy_Variables!E182+Multiple_Regression!$B$14*Dummy_Variables!F182</f>
        <v>694678.264272976</v>
      </c>
      <c r="G182" s="22" t="n">
        <f aca="false">E182-F182</f>
        <v>-12822.7042729759</v>
      </c>
    </row>
    <row r="183" customFormat="false" ht="15" hidden="false" customHeight="true" outlineLevel="0" collapsed="false">
      <c r="A183" s="9" t="str">
        <f aca="false">Cleaned_Prepared_Data!A183</f>
        <v>STR-1047</v>
      </c>
      <c r="B183" s="10" t="n">
        <f aca="false">Cleaned_Prepared_Data!B183</f>
        <v>45689</v>
      </c>
      <c r="C183" s="9" t="str">
        <f aca="false">Cleaned_Prepared_Data!C183</f>
        <v>North</v>
      </c>
      <c r="D183" s="9" t="str">
        <f aca="false">Cleaned_Prepared_Data!D183</f>
        <v>High Street</v>
      </c>
      <c r="E183" s="9" t="n">
        <f aca="false">Cleaned_Prepared_Data!M183</f>
        <v>678311.17</v>
      </c>
      <c r="F183" s="22" t="n">
        <f aca="false">Multiple_Regression!$B$6+Multiple_Regression!$B$7*Cleaned_Prepared_Data!F183+Multiple_Regression!$B$8*Cleaned_Prepared_Data!E183+Multiple_Regression!$B$9*Cleaned_Prepared_Data!I183+Multiple_Regression!$B$10*Cleaned_Prepared_Data!H183+Multiple_Regression!$B$11*Cleaned_Prepared_Data!G183+Multiple_Regression!$B$12*Dummy_Variables!D183+Multiple_Regression!$B$13*Dummy_Variables!E183+Multiple_Regression!$B$14*Dummy_Variables!F183</f>
        <v>659119.416230661</v>
      </c>
      <c r="G183" s="22" t="n">
        <f aca="false">E183-F183</f>
        <v>19191.7537693386</v>
      </c>
    </row>
    <row r="184" customFormat="false" ht="15" hidden="false" customHeight="true" outlineLevel="0" collapsed="false">
      <c r="A184" s="9" t="str">
        <f aca="false">Cleaned_Prepared_Data!A184</f>
        <v>STR-1047</v>
      </c>
      <c r="B184" s="10" t="n">
        <f aca="false">Cleaned_Prepared_Data!B184</f>
        <v>45717</v>
      </c>
      <c r="C184" s="9" t="str">
        <f aca="false">Cleaned_Prepared_Data!C184</f>
        <v>North</v>
      </c>
      <c r="D184" s="9" t="str">
        <f aca="false">Cleaned_Prepared_Data!D184</f>
        <v>High Street</v>
      </c>
      <c r="E184" s="9" t="n">
        <f aca="false">Cleaned_Prepared_Data!M184</f>
        <v>765906.95</v>
      </c>
      <c r="F184" s="22" t="n">
        <f aca="false">Multiple_Regression!$B$6+Multiple_Regression!$B$7*Cleaned_Prepared_Data!F184+Multiple_Regression!$B$8*Cleaned_Prepared_Data!E184+Multiple_Regression!$B$9*Cleaned_Prepared_Data!I184+Multiple_Regression!$B$10*Cleaned_Prepared_Data!H184+Multiple_Regression!$B$11*Cleaned_Prepared_Data!G184+Multiple_Regression!$B$12*Dummy_Variables!D184+Multiple_Regression!$B$13*Dummy_Variables!E184+Multiple_Regression!$B$14*Dummy_Variables!F184</f>
        <v>697749.932870555</v>
      </c>
      <c r="G184" s="22" t="n">
        <f aca="false">E184-F184</f>
        <v>68157.0171294446</v>
      </c>
    </row>
    <row r="185" customFormat="false" ht="15" hidden="false" customHeight="true" outlineLevel="0" collapsed="false">
      <c r="A185" s="9" t="str">
        <f aca="false">Cleaned_Prepared_Data!A185</f>
        <v>STR-1047</v>
      </c>
      <c r="B185" s="10" t="n">
        <f aca="false">Cleaned_Prepared_Data!B185</f>
        <v>45748</v>
      </c>
      <c r="C185" s="9" t="str">
        <f aca="false">Cleaned_Prepared_Data!C185</f>
        <v>North</v>
      </c>
      <c r="D185" s="9" t="str">
        <f aca="false">Cleaned_Prepared_Data!D185</f>
        <v>High Street</v>
      </c>
      <c r="E185" s="9" t="n">
        <f aca="false">Cleaned_Prepared_Data!M185</f>
        <v>712546.38</v>
      </c>
      <c r="F185" s="22" t="n">
        <f aca="false">Multiple_Regression!$B$6+Multiple_Regression!$B$7*Cleaned_Prepared_Data!F185+Multiple_Regression!$B$8*Cleaned_Prepared_Data!E185+Multiple_Regression!$B$9*Cleaned_Prepared_Data!I185+Multiple_Regression!$B$10*Cleaned_Prepared_Data!H185+Multiple_Regression!$B$11*Cleaned_Prepared_Data!G185+Multiple_Regression!$B$12*Dummy_Variables!D185+Multiple_Regression!$B$13*Dummy_Variables!E185+Multiple_Regression!$B$14*Dummy_Variables!F185</f>
        <v>712715.330358982</v>
      </c>
      <c r="G185" s="22" t="n">
        <f aca="false">E185-F185</f>
        <v>-168.950358982198</v>
      </c>
    </row>
    <row r="186" customFormat="false" ht="15" hidden="false" customHeight="true" outlineLevel="0" collapsed="false">
      <c r="A186" s="9" t="str">
        <f aca="false">Cleaned_Prepared_Data!A186</f>
        <v>STR-1048</v>
      </c>
      <c r="B186" s="10" t="n">
        <f aca="false">Cleaned_Prepared_Data!B186</f>
        <v>45658</v>
      </c>
      <c r="C186" s="9" t="str">
        <f aca="false">Cleaned_Prepared_Data!C186</f>
        <v>East</v>
      </c>
      <c r="D186" s="9" t="str">
        <f aca="false">Cleaned_Prepared_Data!D186</f>
        <v>High Street</v>
      </c>
      <c r="E186" s="9" t="n">
        <f aca="false">Cleaned_Prepared_Data!M186</f>
        <v>625993.83</v>
      </c>
      <c r="F186" s="22" t="n">
        <f aca="false">Multiple_Regression!$B$6+Multiple_Regression!$B$7*Cleaned_Prepared_Data!F186+Multiple_Regression!$B$8*Cleaned_Prepared_Data!E186+Multiple_Regression!$B$9*Cleaned_Prepared_Data!I186+Multiple_Regression!$B$10*Cleaned_Prepared_Data!H186+Multiple_Regression!$B$11*Cleaned_Prepared_Data!G186+Multiple_Regression!$B$12*Dummy_Variables!D186+Multiple_Regression!$B$13*Dummy_Variables!E186+Multiple_Regression!$B$14*Dummy_Variables!F186</f>
        <v>598034.384134159</v>
      </c>
      <c r="G186" s="22" t="n">
        <f aca="false">E186-F186</f>
        <v>27959.4458658412</v>
      </c>
    </row>
    <row r="187" customFormat="false" ht="15" hidden="false" customHeight="true" outlineLevel="0" collapsed="false">
      <c r="A187" s="9" t="str">
        <f aca="false">Cleaned_Prepared_Data!A187</f>
        <v>STR-1048</v>
      </c>
      <c r="B187" s="10" t="n">
        <f aca="false">Cleaned_Prepared_Data!B187</f>
        <v>45689</v>
      </c>
      <c r="C187" s="9" t="str">
        <f aca="false">Cleaned_Prepared_Data!C187</f>
        <v>East</v>
      </c>
      <c r="D187" s="9" t="str">
        <f aca="false">Cleaned_Prepared_Data!D187</f>
        <v>High Street</v>
      </c>
      <c r="E187" s="9" t="n">
        <f aca="false">Cleaned_Prepared_Data!M187</f>
        <v>550962.93</v>
      </c>
      <c r="F187" s="22" t="n">
        <f aca="false">Multiple_Regression!$B$6+Multiple_Regression!$B$7*Cleaned_Prepared_Data!F187+Multiple_Regression!$B$8*Cleaned_Prepared_Data!E187+Multiple_Regression!$B$9*Cleaned_Prepared_Data!I187+Multiple_Regression!$B$10*Cleaned_Prepared_Data!H187+Multiple_Regression!$B$11*Cleaned_Prepared_Data!G187+Multiple_Regression!$B$12*Dummy_Variables!D187+Multiple_Regression!$B$13*Dummy_Variables!E187+Multiple_Regression!$B$14*Dummy_Variables!F187</f>
        <v>553402.183801711</v>
      </c>
      <c r="G187" s="22" t="n">
        <f aca="false">E187-F187</f>
        <v>-2439.25380171114</v>
      </c>
    </row>
    <row r="188" customFormat="false" ht="15" hidden="false" customHeight="true" outlineLevel="0" collapsed="false">
      <c r="A188" s="9" t="str">
        <f aca="false">Cleaned_Prepared_Data!A188</f>
        <v>STR-1048</v>
      </c>
      <c r="B188" s="10" t="n">
        <f aca="false">Cleaned_Prepared_Data!B188</f>
        <v>45717</v>
      </c>
      <c r="C188" s="9" t="str">
        <f aca="false">Cleaned_Prepared_Data!C188</f>
        <v>East</v>
      </c>
      <c r="D188" s="9" t="str">
        <f aca="false">Cleaned_Prepared_Data!D188</f>
        <v>High Street</v>
      </c>
      <c r="E188" s="9" t="n">
        <f aca="false">Cleaned_Prepared_Data!M188</f>
        <v>443275.59</v>
      </c>
      <c r="F188" s="22" t="n">
        <f aca="false">Multiple_Regression!$B$6+Multiple_Regression!$B$7*Cleaned_Prepared_Data!F188+Multiple_Regression!$B$8*Cleaned_Prepared_Data!E188+Multiple_Regression!$B$9*Cleaned_Prepared_Data!I188+Multiple_Regression!$B$10*Cleaned_Prepared_Data!H188+Multiple_Regression!$B$11*Cleaned_Prepared_Data!G188+Multiple_Regression!$B$12*Dummy_Variables!D188+Multiple_Regression!$B$13*Dummy_Variables!E188+Multiple_Regression!$B$14*Dummy_Variables!F188</f>
        <v>467713.111252929</v>
      </c>
      <c r="G188" s="22" t="n">
        <f aca="false">E188-F188</f>
        <v>-24437.5212529292</v>
      </c>
    </row>
    <row r="189" customFormat="false" ht="15" hidden="false" customHeight="true" outlineLevel="0" collapsed="false">
      <c r="A189" s="9" t="str">
        <f aca="false">Cleaned_Prepared_Data!A189</f>
        <v>STR-1048</v>
      </c>
      <c r="B189" s="10" t="n">
        <f aca="false">Cleaned_Prepared_Data!B189</f>
        <v>45748</v>
      </c>
      <c r="C189" s="9" t="str">
        <f aca="false">Cleaned_Prepared_Data!C189</f>
        <v>East</v>
      </c>
      <c r="D189" s="9" t="str">
        <f aca="false">Cleaned_Prepared_Data!D189</f>
        <v>High Street</v>
      </c>
      <c r="E189" s="9" t="n">
        <f aca="false">Cleaned_Prepared_Data!M189</f>
        <v>554012.07</v>
      </c>
      <c r="F189" s="22" t="n">
        <f aca="false">Multiple_Regression!$B$6+Multiple_Regression!$B$7*Cleaned_Prepared_Data!F189+Multiple_Regression!$B$8*Cleaned_Prepared_Data!E189+Multiple_Regression!$B$9*Cleaned_Prepared_Data!I189+Multiple_Regression!$B$10*Cleaned_Prepared_Data!H189+Multiple_Regression!$B$11*Cleaned_Prepared_Data!G189+Multiple_Regression!$B$12*Dummy_Variables!D189+Multiple_Regression!$B$13*Dummy_Variables!E189+Multiple_Regression!$B$14*Dummy_Variables!F189</f>
        <v>606494.655571219</v>
      </c>
      <c r="G189" s="22" t="n">
        <f aca="false">E189-F189</f>
        <v>-52482.5855712192</v>
      </c>
    </row>
    <row r="190" customFormat="false" ht="15" hidden="false" customHeight="true" outlineLevel="0" collapsed="false">
      <c r="A190" s="9" t="str">
        <f aca="false">Cleaned_Prepared_Data!A190</f>
        <v>STR-1049</v>
      </c>
      <c r="B190" s="10" t="n">
        <f aca="false">Cleaned_Prepared_Data!B190</f>
        <v>45658</v>
      </c>
      <c r="C190" s="9" t="str">
        <f aca="false">Cleaned_Prepared_Data!C190</f>
        <v>West</v>
      </c>
      <c r="D190" s="9" t="str">
        <f aca="false">Cleaned_Prepared_Data!D190</f>
        <v>Residential</v>
      </c>
      <c r="E190" s="9" t="n">
        <f aca="false">Cleaned_Prepared_Data!M190</f>
        <v>643428.85</v>
      </c>
      <c r="F190" s="22" t="n">
        <f aca="false">Multiple_Regression!$B$6+Multiple_Regression!$B$7*Cleaned_Prepared_Data!F190+Multiple_Regression!$B$8*Cleaned_Prepared_Data!E190+Multiple_Regression!$B$9*Cleaned_Prepared_Data!I190+Multiple_Regression!$B$10*Cleaned_Prepared_Data!H190+Multiple_Regression!$B$11*Cleaned_Prepared_Data!G190+Multiple_Regression!$B$12*Dummy_Variables!D190+Multiple_Regression!$B$13*Dummy_Variables!E190+Multiple_Regression!$B$14*Dummy_Variables!F190</f>
        <v>674310.81302685</v>
      </c>
      <c r="G190" s="22" t="n">
        <f aca="false">E190-F190</f>
        <v>-30881.9630268504</v>
      </c>
    </row>
    <row r="191" customFormat="false" ht="15" hidden="false" customHeight="true" outlineLevel="0" collapsed="false">
      <c r="A191" s="9" t="str">
        <f aca="false">Cleaned_Prepared_Data!A191</f>
        <v>STR-1049</v>
      </c>
      <c r="B191" s="10" t="n">
        <f aca="false">Cleaned_Prepared_Data!B191</f>
        <v>45689</v>
      </c>
      <c r="C191" s="9" t="str">
        <f aca="false">Cleaned_Prepared_Data!C191</f>
        <v>West</v>
      </c>
      <c r="D191" s="9" t="str">
        <f aca="false">Cleaned_Prepared_Data!D191</f>
        <v>Residential</v>
      </c>
      <c r="E191" s="9" t="n">
        <f aca="false">Cleaned_Prepared_Data!M191</f>
        <v>611924.27</v>
      </c>
      <c r="F191" s="22" t="n">
        <f aca="false">Multiple_Regression!$B$6+Multiple_Regression!$B$7*Cleaned_Prepared_Data!F191+Multiple_Regression!$B$8*Cleaned_Prepared_Data!E191+Multiple_Regression!$B$9*Cleaned_Prepared_Data!I191+Multiple_Regression!$B$10*Cleaned_Prepared_Data!H191+Multiple_Regression!$B$11*Cleaned_Prepared_Data!G191+Multiple_Regression!$B$12*Dummy_Variables!D191+Multiple_Regression!$B$13*Dummy_Variables!E191+Multiple_Regression!$B$14*Dummy_Variables!F191</f>
        <v>606633.945033173</v>
      </c>
      <c r="G191" s="22" t="n">
        <f aca="false">E191-F191</f>
        <v>5290.32496682718</v>
      </c>
    </row>
    <row r="192" customFormat="false" ht="15" hidden="false" customHeight="true" outlineLevel="0" collapsed="false">
      <c r="A192" s="9" t="str">
        <f aca="false">Cleaned_Prepared_Data!A192</f>
        <v>STR-1049</v>
      </c>
      <c r="B192" s="10" t="n">
        <f aca="false">Cleaned_Prepared_Data!B192</f>
        <v>45717</v>
      </c>
      <c r="C192" s="9" t="str">
        <f aca="false">Cleaned_Prepared_Data!C192</f>
        <v>West</v>
      </c>
      <c r="D192" s="9" t="str">
        <f aca="false">Cleaned_Prepared_Data!D192</f>
        <v>Residential</v>
      </c>
      <c r="E192" s="9" t="n">
        <f aca="false">Cleaned_Prepared_Data!M192</f>
        <v>559422.02</v>
      </c>
      <c r="F192" s="22" t="n">
        <f aca="false">Multiple_Regression!$B$6+Multiple_Regression!$B$7*Cleaned_Prepared_Data!F192+Multiple_Regression!$B$8*Cleaned_Prepared_Data!E192+Multiple_Regression!$B$9*Cleaned_Prepared_Data!I192+Multiple_Regression!$B$10*Cleaned_Prepared_Data!H192+Multiple_Regression!$B$11*Cleaned_Prepared_Data!G192+Multiple_Regression!$B$12*Dummy_Variables!D192+Multiple_Regression!$B$13*Dummy_Variables!E192+Multiple_Regression!$B$14*Dummy_Variables!F192</f>
        <v>558212.480007693</v>
      </c>
      <c r="G192" s="22" t="n">
        <f aca="false">E192-F192</f>
        <v>1209.53999230708</v>
      </c>
    </row>
    <row r="193" customFormat="false" ht="15" hidden="false" customHeight="true" outlineLevel="0" collapsed="false">
      <c r="A193" s="9" t="str">
        <f aca="false">Cleaned_Prepared_Data!A193</f>
        <v>STR-1050</v>
      </c>
      <c r="B193" s="10" t="n">
        <f aca="false">Cleaned_Prepared_Data!B193</f>
        <v>45658</v>
      </c>
      <c r="C193" s="9" t="str">
        <f aca="false">Cleaned_Prepared_Data!C193</f>
        <v>North</v>
      </c>
      <c r="D193" s="9" t="str">
        <f aca="false">Cleaned_Prepared_Data!D193</f>
        <v>Residential</v>
      </c>
      <c r="E193" s="9" t="n">
        <f aca="false">Cleaned_Prepared_Data!M193</f>
        <v>691447.43</v>
      </c>
      <c r="F193" s="22" t="n">
        <f aca="false">Multiple_Regression!$B$6+Multiple_Regression!$B$7*Cleaned_Prepared_Data!F193+Multiple_Regression!$B$8*Cleaned_Prepared_Data!E193+Multiple_Regression!$B$9*Cleaned_Prepared_Data!I193+Multiple_Regression!$B$10*Cleaned_Prepared_Data!H193+Multiple_Regression!$B$11*Cleaned_Prepared_Data!G193+Multiple_Regression!$B$12*Dummy_Variables!D193+Multiple_Regression!$B$13*Dummy_Variables!E193+Multiple_Regression!$B$14*Dummy_Variables!F193</f>
        <v>628716.885729056</v>
      </c>
      <c r="G193" s="22" t="n">
        <f aca="false">E193-F193</f>
        <v>62730.5442709437</v>
      </c>
    </row>
    <row r="194" customFormat="false" ht="15" hidden="false" customHeight="true" outlineLevel="0" collapsed="false">
      <c r="A194" s="9" t="str">
        <f aca="false">Cleaned_Prepared_Data!A194</f>
        <v>STR-1050</v>
      </c>
      <c r="B194" s="10" t="n">
        <f aca="false">Cleaned_Prepared_Data!B194</f>
        <v>45689</v>
      </c>
      <c r="C194" s="9" t="str">
        <f aca="false">Cleaned_Prepared_Data!C194</f>
        <v>North</v>
      </c>
      <c r="D194" s="9" t="str">
        <f aca="false">Cleaned_Prepared_Data!D194</f>
        <v>Residential</v>
      </c>
      <c r="E194" s="9" t="n">
        <f aca="false">Cleaned_Prepared_Data!M194</f>
        <v>574066.61</v>
      </c>
      <c r="F194" s="22" t="n">
        <f aca="false">Multiple_Regression!$B$6+Multiple_Regression!$B$7*Cleaned_Prepared_Data!F194+Multiple_Regression!$B$8*Cleaned_Prepared_Data!E194+Multiple_Regression!$B$9*Cleaned_Prepared_Data!I194+Multiple_Regression!$B$10*Cleaned_Prepared_Data!H194+Multiple_Regression!$B$11*Cleaned_Prepared_Data!G194+Multiple_Regression!$B$12*Dummy_Variables!D194+Multiple_Regression!$B$13*Dummy_Variables!E194+Multiple_Regression!$B$14*Dummy_Variables!F194</f>
        <v>608533.078253044</v>
      </c>
      <c r="G194" s="22" t="n">
        <f aca="false">E194-F194</f>
        <v>-34466.4682530439</v>
      </c>
    </row>
    <row r="195" customFormat="false" ht="15" hidden="false" customHeight="true" outlineLevel="0" collapsed="false">
      <c r="A195" s="9" t="str">
        <f aca="false">Cleaned_Prepared_Data!A195</f>
        <v>STR-1050</v>
      </c>
      <c r="B195" s="10" t="n">
        <f aca="false">Cleaned_Prepared_Data!B195</f>
        <v>45717</v>
      </c>
      <c r="C195" s="9" t="str">
        <f aca="false">Cleaned_Prepared_Data!C195</f>
        <v>North</v>
      </c>
      <c r="D195" s="9" t="str">
        <f aca="false">Cleaned_Prepared_Data!D195</f>
        <v>Residential</v>
      </c>
      <c r="E195" s="9" t="n">
        <f aca="false">Cleaned_Prepared_Data!M195</f>
        <v>578949.84</v>
      </c>
      <c r="F195" s="22" t="n">
        <f aca="false">Multiple_Regression!$B$6+Multiple_Regression!$B$7*Cleaned_Prepared_Data!F195+Multiple_Regression!$B$8*Cleaned_Prepared_Data!E195+Multiple_Regression!$B$9*Cleaned_Prepared_Data!I195+Multiple_Regression!$B$10*Cleaned_Prepared_Data!H195+Multiple_Regression!$B$11*Cleaned_Prepared_Data!G195+Multiple_Regression!$B$12*Dummy_Variables!D195+Multiple_Regression!$B$13*Dummy_Variables!E195+Multiple_Regression!$B$14*Dummy_Variables!F195</f>
        <v>594333.653829753</v>
      </c>
      <c r="G195" s="22" t="n">
        <f aca="false">E195-F195</f>
        <v>-15383.8138297526</v>
      </c>
    </row>
    <row r="196" customFormat="false" ht="15" hidden="false" customHeight="true" outlineLevel="0" collapsed="false">
      <c r="A196" s="9" t="str">
        <f aca="false">Cleaned_Prepared_Data!A196</f>
        <v>STR-1050</v>
      </c>
      <c r="B196" s="10" t="n">
        <f aca="false">Cleaned_Prepared_Data!B196</f>
        <v>45748</v>
      </c>
      <c r="C196" s="9" t="str">
        <f aca="false">Cleaned_Prepared_Data!C196</f>
        <v>North</v>
      </c>
      <c r="D196" s="9" t="str">
        <f aca="false">Cleaned_Prepared_Data!D196</f>
        <v>Residential</v>
      </c>
      <c r="E196" s="9" t="n">
        <f aca="false">Cleaned_Prepared_Data!M196</f>
        <v>735786.64</v>
      </c>
      <c r="F196" s="22" t="n">
        <f aca="false">Multiple_Regression!$B$6+Multiple_Regression!$B$7*Cleaned_Prepared_Data!F196+Multiple_Regression!$B$8*Cleaned_Prepared_Data!E196+Multiple_Regression!$B$9*Cleaned_Prepared_Data!I196+Multiple_Regression!$B$10*Cleaned_Prepared_Data!H196+Multiple_Regression!$B$11*Cleaned_Prepared_Data!G196+Multiple_Regression!$B$12*Dummy_Variables!D196+Multiple_Regression!$B$13*Dummy_Variables!E196+Multiple_Regression!$B$14*Dummy_Variables!F196</f>
        <v>648854.253365097</v>
      </c>
      <c r="G196" s="22" t="n">
        <f aca="false">E196-F196</f>
        <v>86932.386634903</v>
      </c>
    </row>
    <row r="197" customFormat="false" ht="15" hidden="false" customHeight="true" outlineLevel="0" collapsed="false">
      <c r="A197" s="9" t="str">
        <f aca="false">Cleaned_Prepared_Data!A197</f>
        <v>STR-1051</v>
      </c>
      <c r="B197" s="10" t="n">
        <f aca="false">Cleaned_Prepared_Data!B197</f>
        <v>45658</v>
      </c>
      <c r="C197" s="9" t="str">
        <f aca="false">Cleaned_Prepared_Data!C197</f>
        <v>East</v>
      </c>
      <c r="D197" s="9" t="str">
        <f aca="false">Cleaned_Prepared_Data!D197</f>
        <v>Airport</v>
      </c>
      <c r="E197" s="9" t="n">
        <f aca="false">Cleaned_Prepared_Data!M197</f>
        <v>598904.9</v>
      </c>
      <c r="F197" s="22" t="n">
        <f aca="false">Multiple_Regression!$B$6+Multiple_Regression!$B$7*Cleaned_Prepared_Data!F197+Multiple_Regression!$B$8*Cleaned_Prepared_Data!E197+Multiple_Regression!$B$9*Cleaned_Prepared_Data!I197+Multiple_Regression!$B$10*Cleaned_Prepared_Data!H197+Multiple_Regression!$B$11*Cleaned_Prepared_Data!G197+Multiple_Regression!$B$12*Dummy_Variables!D197+Multiple_Regression!$B$13*Dummy_Variables!E197+Multiple_Regression!$B$14*Dummy_Variables!F197</f>
        <v>625189.070380062</v>
      </c>
      <c r="G197" s="22" t="n">
        <f aca="false">E197-F197</f>
        <v>-26284.1703800615</v>
      </c>
    </row>
    <row r="198" customFormat="false" ht="15" hidden="false" customHeight="true" outlineLevel="0" collapsed="false">
      <c r="A198" s="9" t="str">
        <f aca="false">Cleaned_Prepared_Data!A198</f>
        <v>STR-1051</v>
      </c>
      <c r="B198" s="10" t="n">
        <f aca="false">Cleaned_Prepared_Data!B198</f>
        <v>45689</v>
      </c>
      <c r="C198" s="9" t="str">
        <f aca="false">Cleaned_Prepared_Data!C198</f>
        <v>East</v>
      </c>
      <c r="D198" s="9" t="str">
        <f aca="false">Cleaned_Prepared_Data!D198</f>
        <v>Airport</v>
      </c>
      <c r="E198" s="9" t="n">
        <f aca="false">Cleaned_Prepared_Data!M198</f>
        <v>787715.51</v>
      </c>
      <c r="F198" s="22" t="n">
        <f aca="false">Multiple_Regression!$B$6+Multiple_Regression!$B$7*Cleaned_Prepared_Data!F198+Multiple_Regression!$B$8*Cleaned_Prepared_Data!E198+Multiple_Regression!$B$9*Cleaned_Prepared_Data!I198+Multiple_Regression!$B$10*Cleaned_Prepared_Data!H198+Multiple_Regression!$B$11*Cleaned_Prepared_Data!G198+Multiple_Regression!$B$12*Dummy_Variables!D198+Multiple_Regression!$B$13*Dummy_Variables!E198+Multiple_Regression!$B$14*Dummy_Variables!F198</f>
        <v>699413.514184406</v>
      </c>
      <c r="G198" s="22" t="n">
        <f aca="false">E198-F198</f>
        <v>88301.9958155945</v>
      </c>
    </row>
    <row r="199" customFormat="false" ht="15" hidden="false" customHeight="true" outlineLevel="0" collapsed="false">
      <c r="A199" s="9" t="str">
        <f aca="false">Cleaned_Prepared_Data!A199</f>
        <v>STR-1051</v>
      </c>
      <c r="B199" s="10" t="n">
        <f aca="false">Cleaned_Prepared_Data!B199</f>
        <v>45717</v>
      </c>
      <c r="C199" s="9" t="str">
        <f aca="false">Cleaned_Prepared_Data!C199</f>
        <v>East</v>
      </c>
      <c r="D199" s="9" t="str">
        <f aca="false">Cleaned_Prepared_Data!D199</f>
        <v>Airport</v>
      </c>
      <c r="E199" s="9" t="n">
        <f aca="false">Cleaned_Prepared_Data!M199</f>
        <v>607084.92</v>
      </c>
      <c r="F199" s="22" t="n">
        <f aca="false">Multiple_Regression!$B$6+Multiple_Regression!$B$7*Cleaned_Prepared_Data!F199+Multiple_Regression!$B$8*Cleaned_Prepared_Data!E199+Multiple_Regression!$B$9*Cleaned_Prepared_Data!I199+Multiple_Regression!$B$10*Cleaned_Prepared_Data!H199+Multiple_Regression!$B$11*Cleaned_Prepared_Data!G199+Multiple_Regression!$B$12*Dummy_Variables!D199+Multiple_Regression!$B$13*Dummy_Variables!E199+Multiple_Regression!$B$14*Dummy_Variables!F199</f>
        <v>665320.033041881</v>
      </c>
      <c r="G199" s="22" t="n">
        <f aca="false">E199-F199</f>
        <v>-58235.1130418812</v>
      </c>
    </row>
    <row r="200" customFormat="false" ht="15" hidden="false" customHeight="true" outlineLevel="0" collapsed="false">
      <c r="A200" s="9" t="str">
        <f aca="false">Cleaned_Prepared_Data!A200</f>
        <v>STR-1051</v>
      </c>
      <c r="B200" s="10" t="n">
        <f aca="false">Cleaned_Prepared_Data!B200</f>
        <v>45748</v>
      </c>
      <c r="C200" s="9" t="str">
        <f aca="false">Cleaned_Prepared_Data!C200</f>
        <v>East</v>
      </c>
      <c r="D200" s="9" t="str">
        <f aca="false">Cleaned_Prepared_Data!D200</f>
        <v>Airport</v>
      </c>
      <c r="E200" s="9" t="n">
        <f aca="false">Cleaned_Prepared_Data!M200</f>
        <v>650795.49</v>
      </c>
      <c r="F200" s="22" t="n">
        <f aca="false">Multiple_Regression!$B$6+Multiple_Regression!$B$7*Cleaned_Prepared_Data!F200+Multiple_Regression!$B$8*Cleaned_Prepared_Data!E200+Multiple_Regression!$B$9*Cleaned_Prepared_Data!I200+Multiple_Regression!$B$10*Cleaned_Prepared_Data!H200+Multiple_Regression!$B$11*Cleaned_Prepared_Data!G200+Multiple_Regression!$B$12*Dummy_Variables!D200+Multiple_Regression!$B$13*Dummy_Variables!E200+Multiple_Regression!$B$14*Dummy_Variables!F200</f>
        <v>692969.280880212</v>
      </c>
      <c r="G200" s="22" t="n">
        <f aca="false">E200-F200</f>
        <v>-42173.7908802123</v>
      </c>
    </row>
    <row r="201" customFormat="false" ht="15" hidden="false" customHeight="true" outlineLevel="0" collapsed="false">
      <c r="A201" s="9" t="str">
        <f aca="false">Cleaned_Prepared_Data!A201</f>
        <v>STR-1052</v>
      </c>
      <c r="B201" s="10" t="n">
        <f aca="false">Cleaned_Prepared_Data!B201</f>
        <v>45658</v>
      </c>
      <c r="C201" s="9" t="str">
        <f aca="false">Cleaned_Prepared_Data!C201</f>
        <v>East</v>
      </c>
      <c r="D201" s="9" t="str">
        <f aca="false">Cleaned_Prepared_Data!D201</f>
        <v>Mall</v>
      </c>
      <c r="E201" s="9" t="n">
        <f aca="false">Cleaned_Prepared_Data!M201</f>
        <v>825060.52</v>
      </c>
      <c r="F201" s="22" t="n">
        <f aca="false">Multiple_Regression!$B$6+Multiple_Regression!$B$7*Cleaned_Prepared_Data!F201+Multiple_Regression!$B$8*Cleaned_Prepared_Data!E201+Multiple_Regression!$B$9*Cleaned_Prepared_Data!I201+Multiple_Regression!$B$10*Cleaned_Prepared_Data!H201+Multiple_Regression!$B$11*Cleaned_Prepared_Data!G201+Multiple_Regression!$B$12*Dummy_Variables!D201+Multiple_Regression!$B$13*Dummy_Variables!E201+Multiple_Regression!$B$14*Dummy_Variables!F201</f>
        <v>858157.199172051</v>
      </c>
      <c r="G201" s="22" t="n">
        <f aca="false">E201-F201</f>
        <v>-33096.6791720513</v>
      </c>
    </row>
    <row r="202" customFormat="false" ht="15" hidden="false" customHeight="true" outlineLevel="0" collapsed="false">
      <c r="A202" s="9" t="str">
        <f aca="false">Cleaned_Prepared_Data!A202</f>
        <v>STR-1052</v>
      </c>
      <c r="B202" s="10" t="n">
        <f aca="false">Cleaned_Prepared_Data!B202</f>
        <v>45689</v>
      </c>
      <c r="C202" s="9" t="str">
        <f aca="false">Cleaned_Prepared_Data!C202</f>
        <v>East</v>
      </c>
      <c r="D202" s="9" t="str">
        <f aca="false">Cleaned_Prepared_Data!D202</f>
        <v>Mall</v>
      </c>
      <c r="E202" s="9" t="n">
        <f aca="false">Cleaned_Prepared_Data!M202</f>
        <v>795464.47</v>
      </c>
      <c r="F202" s="22" t="n">
        <f aca="false">Multiple_Regression!$B$6+Multiple_Regression!$B$7*Cleaned_Prepared_Data!F202+Multiple_Regression!$B$8*Cleaned_Prepared_Data!E202+Multiple_Regression!$B$9*Cleaned_Prepared_Data!I202+Multiple_Regression!$B$10*Cleaned_Prepared_Data!H202+Multiple_Regression!$B$11*Cleaned_Prepared_Data!G202+Multiple_Regression!$B$12*Dummy_Variables!D202+Multiple_Regression!$B$13*Dummy_Variables!E202+Multiple_Regression!$B$14*Dummy_Variables!F202</f>
        <v>752461.718816961</v>
      </c>
      <c r="G202" s="22" t="n">
        <f aca="false">E202-F202</f>
        <v>43002.751183039</v>
      </c>
    </row>
    <row r="203" customFormat="false" ht="15" hidden="false" customHeight="true" outlineLevel="0" collapsed="false">
      <c r="A203" s="9" t="str">
        <f aca="false">Cleaned_Prepared_Data!A203</f>
        <v>STR-1052</v>
      </c>
      <c r="B203" s="10" t="n">
        <f aca="false">Cleaned_Prepared_Data!B203</f>
        <v>45717</v>
      </c>
      <c r="C203" s="9" t="str">
        <f aca="false">Cleaned_Prepared_Data!C203</f>
        <v>East</v>
      </c>
      <c r="D203" s="9" t="str">
        <f aca="false">Cleaned_Prepared_Data!D203</f>
        <v>Mall</v>
      </c>
      <c r="E203" s="9" t="n">
        <f aca="false">Cleaned_Prepared_Data!M203</f>
        <v>671868.59</v>
      </c>
      <c r="F203" s="22" t="n">
        <f aca="false">Multiple_Regression!$B$6+Multiple_Regression!$B$7*Cleaned_Prepared_Data!F203+Multiple_Regression!$B$8*Cleaned_Prepared_Data!E203+Multiple_Regression!$B$9*Cleaned_Prepared_Data!I203+Multiple_Regression!$B$10*Cleaned_Prepared_Data!H203+Multiple_Regression!$B$11*Cleaned_Prepared_Data!G203+Multiple_Regression!$B$12*Dummy_Variables!D203+Multiple_Regression!$B$13*Dummy_Variables!E203+Multiple_Regression!$B$14*Dummy_Variables!F203</f>
        <v>740672.549681752</v>
      </c>
      <c r="G203" s="22" t="n">
        <f aca="false">E203-F203</f>
        <v>-68803.9596817516</v>
      </c>
    </row>
    <row r="204" customFormat="false" ht="15" hidden="false" customHeight="true" outlineLevel="0" collapsed="false">
      <c r="A204" s="9" t="str">
        <f aca="false">Cleaned_Prepared_Data!A204</f>
        <v>STR-1052</v>
      </c>
      <c r="B204" s="10" t="n">
        <f aca="false">Cleaned_Prepared_Data!B204</f>
        <v>45748</v>
      </c>
      <c r="C204" s="9" t="str">
        <f aca="false">Cleaned_Prepared_Data!C204</f>
        <v>East</v>
      </c>
      <c r="D204" s="9" t="str">
        <f aca="false">Cleaned_Prepared_Data!D204</f>
        <v>Mall</v>
      </c>
      <c r="E204" s="9" t="n">
        <f aca="false">Cleaned_Prepared_Data!M204</f>
        <v>675917.63</v>
      </c>
      <c r="F204" s="22" t="n">
        <f aca="false">Multiple_Regression!$B$6+Multiple_Regression!$B$7*Cleaned_Prepared_Data!F204+Multiple_Regression!$B$8*Cleaned_Prepared_Data!E204+Multiple_Regression!$B$9*Cleaned_Prepared_Data!I204+Multiple_Regression!$B$10*Cleaned_Prepared_Data!H204+Multiple_Regression!$B$11*Cleaned_Prepared_Data!G204+Multiple_Regression!$B$12*Dummy_Variables!D204+Multiple_Regression!$B$13*Dummy_Variables!E204+Multiple_Regression!$B$14*Dummy_Variables!F204</f>
        <v>762570.912941931</v>
      </c>
      <c r="G204" s="22" t="n">
        <f aca="false">E204-F204</f>
        <v>-86653.2829419308</v>
      </c>
    </row>
    <row r="205" customFormat="false" ht="15" hidden="false" customHeight="true" outlineLevel="0" collapsed="false">
      <c r="A205" s="9" t="str">
        <f aca="false">Cleaned_Prepared_Data!A205</f>
        <v>STR-1053</v>
      </c>
      <c r="B205" s="10" t="n">
        <f aca="false">Cleaned_Prepared_Data!B205</f>
        <v>45658</v>
      </c>
      <c r="C205" s="9" t="str">
        <f aca="false">Cleaned_Prepared_Data!C205</f>
        <v>East</v>
      </c>
      <c r="D205" s="9" t="str">
        <f aca="false">Cleaned_Prepared_Data!D205</f>
        <v>High Street</v>
      </c>
      <c r="E205" s="9" t="n">
        <f aca="false">Cleaned_Prepared_Data!M205</f>
        <v>810446.53</v>
      </c>
      <c r="F205" s="22" t="n">
        <f aca="false">Multiple_Regression!$B$6+Multiple_Regression!$B$7*Cleaned_Prepared_Data!F205+Multiple_Regression!$B$8*Cleaned_Prepared_Data!E205+Multiple_Regression!$B$9*Cleaned_Prepared_Data!I205+Multiple_Regression!$B$10*Cleaned_Prepared_Data!H205+Multiple_Regression!$B$11*Cleaned_Prepared_Data!G205+Multiple_Regression!$B$12*Dummy_Variables!D205+Multiple_Regression!$B$13*Dummy_Variables!E205+Multiple_Regression!$B$14*Dummy_Variables!F205</f>
        <v>810285.685067471</v>
      </c>
      <c r="G205" s="22" t="n">
        <f aca="false">E205-F205</f>
        <v>160.844932529493</v>
      </c>
    </row>
    <row r="206" customFormat="false" ht="15" hidden="false" customHeight="true" outlineLevel="0" collapsed="false">
      <c r="A206" s="9" t="str">
        <f aca="false">Cleaned_Prepared_Data!A206</f>
        <v>STR-1053</v>
      </c>
      <c r="B206" s="10" t="n">
        <f aca="false">Cleaned_Prepared_Data!B206</f>
        <v>45689</v>
      </c>
      <c r="C206" s="9" t="str">
        <f aca="false">Cleaned_Prepared_Data!C206</f>
        <v>East</v>
      </c>
      <c r="D206" s="9" t="str">
        <f aca="false">Cleaned_Prepared_Data!D206</f>
        <v>High Street</v>
      </c>
      <c r="E206" s="9" t="n">
        <f aca="false">Cleaned_Prepared_Data!M206</f>
        <v>691288.19</v>
      </c>
      <c r="F206" s="22" t="n">
        <f aca="false">Multiple_Regression!$B$6+Multiple_Regression!$B$7*Cleaned_Prepared_Data!F206+Multiple_Regression!$B$8*Cleaned_Prepared_Data!E206+Multiple_Regression!$B$9*Cleaned_Prepared_Data!I206+Multiple_Regression!$B$10*Cleaned_Prepared_Data!H206+Multiple_Regression!$B$11*Cleaned_Prepared_Data!G206+Multiple_Regression!$B$12*Dummy_Variables!D206+Multiple_Regression!$B$13*Dummy_Variables!E206+Multiple_Regression!$B$14*Dummy_Variables!F206</f>
        <v>766773.037078442</v>
      </c>
      <c r="G206" s="22" t="n">
        <f aca="false">E206-F206</f>
        <v>-75484.8470784422</v>
      </c>
    </row>
    <row r="207" customFormat="false" ht="15" hidden="false" customHeight="true" outlineLevel="0" collapsed="false">
      <c r="A207" s="9" t="str">
        <f aca="false">Cleaned_Prepared_Data!A207</f>
        <v>STR-1053</v>
      </c>
      <c r="B207" s="10" t="n">
        <f aca="false">Cleaned_Prepared_Data!B207</f>
        <v>45717</v>
      </c>
      <c r="C207" s="9" t="str">
        <f aca="false">Cleaned_Prepared_Data!C207</f>
        <v>East</v>
      </c>
      <c r="D207" s="9" t="str">
        <f aca="false">Cleaned_Prepared_Data!D207</f>
        <v>High Street</v>
      </c>
      <c r="E207" s="9" t="n">
        <f aca="false">Cleaned_Prepared_Data!M207</f>
        <v>946833.54</v>
      </c>
      <c r="F207" s="22" t="n">
        <f aca="false">Multiple_Regression!$B$6+Multiple_Regression!$B$7*Cleaned_Prepared_Data!F207+Multiple_Regression!$B$8*Cleaned_Prepared_Data!E207+Multiple_Regression!$B$9*Cleaned_Prepared_Data!I207+Multiple_Regression!$B$10*Cleaned_Prepared_Data!H207+Multiple_Regression!$B$11*Cleaned_Prepared_Data!G207+Multiple_Regression!$B$12*Dummy_Variables!D207+Multiple_Regression!$B$13*Dummy_Variables!E207+Multiple_Regression!$B$14*Dummy_Variables!F207</f>
        <v>976669.866172948</v>
      </c>
      <c r="G207" s="22" t="n">
        <f aca="false">E207-F207</f>
        <v>-29836.3261729474</v>
      </c>
    </row>
    <row r="208" customFormat="false" ht="15" hidden="false" customHeight="true" outlineLevel="0" collapsed="false">
      <c r="A208" s="9" t="str">
        <f aca="false">Cleaned_Prepared_Data!A208</f>
        <v>STR-1053</v>
      </c>
      <c r="B208" s="10" t="n">
        <f aca="false">Cleaned_Prepared_Data!B208</f>
        <v>45748</v>
      </c>
      <c r="C208" s="9" t="str">
        <f aca="false">Cleaned_Prepared_Data!C208</f>
        <v>East</v>
      </c>
      <c r="D208" s="9" t="str">
        <f aca="false">Cleaned_Prepared_Data!D208</f>
        <v>High Street</v>
      </c>
      <c r="E208" s="9" t="n">
        <f aca="false">Cleaned_Prepared_Data!M208</f>
        <v>761963.23</v>
      </c>
      <c r="F208" s="22" t="n">
        <f aca="false">Multiple_Regression!$B$6+Multiple_Regression!$B$7*Cleaned_Prepared_Data!F208+Multiple_Regression!$B$8*Cleaned_Prepared_Data!E208+Multiple_Regression!$B$9*Cleaned_Prepared_Data!I208+Multiple_Regression!$B$10*Cleaned_Prepared_Data!H208+Multiple_Regression!$B$11*Cleaned_Prepared_Data!G208+Multiple_Regression!$B$12*Dummy_Variables!D208+Multiple_Regression!$B$13*Dummy_Variables!E208+Multiple_Regression!$B$14*Dummy_Variables!F208</f>
        <v>775547.771875795</v>
      </c>
      <c r="G208" s="22" t="n">
        <f aca="false">E208-F208</f>
        <v>-13584.5418757952</v>
      </c>
    </row>
    <row r="209" customFormat="false" ht="15" hidden="false" customHeight="true" outlineLevel="0" collapsed="false">
      <c r="A209" s="9" t="str">
        <f aca="false">Cleaned_Prepared_Data!A209</f>
        <v>STR-1054</v>
      </c>
      <c r="B209" s="10" t="n">
        <f aca="false">Cleaned_Prepared_Data!B209</f>
        <v>45658</v>
      </c>
      <c r="C209" s="9" t="str">
        <f aca="false">Cleaned_Prepared_Data!C209</f>
        <v>West</v>
      </c>
      <c r="D209" s="9" t="str">
        <f aca="false">Cleaned_Prepared_Data!D209</f>
        <v>Residential</v>
      </c>
      <c r="E209" s="9" t="n">
        <f aca="false">Cleaned_Prepared_Data!M209</f>
        <v>812152.6</v>
      </c>
      <c r="F209" s="22" t="n">
        <f aca="false">Multiple_Regression!$B$6+Multiple_Regression!$B$7*Cleaned_Prepared_Data!F209+Multiple_Regression!$B$8*Cleaned_Prepared_Data!E209+Multiple_Regression!$B$9*Cleaned_Prepared_Data!I209+Multiple_Regression!$B$10*Cleaned_Prepared_Data!H209+Multiple_Regression!$B$11*Cleaned_Prepared_Data!G209+Multiple_Regression!$B$12*Dummy_Variables!D209+Multiple_Regression!$B$13*Dummy_Variables!E209+Multiple_Regression!$B$14*Dummy_Variables!F209</f>
        <v>773548.019168136</v>
      </c>
      <c r="G209" s="22" t="n">
        <f aca="false">E209-F209</f>
        <v>38604.5808318643</v>
      </c>
    </row>
    <row r="210" customFormat="false" ht="15" hidden="false" customHeight="true" outlineLevel="0" collapsed="false">
      <c r="A210" s="9" t="str">
        <f aca="false">Cleaned_Prepared_Data!A210</f>
        <v>STR-1054</v>
      </c>
      <c r="B210" s="10" t="n">
        <f aca="false">Cleaned_Prepared_Data!B210</f>
        <v>45689</v>
      </c>
      <c r="C210" s="9" t="str">
        <f aca="false">Cleaned_Prepared_Data!C210</f>
        <v>West</v>
      </c>
      <c r="D210" s="9" t="str">
        <f aca="false">Cleaned_Prepared_Data!D210</f>
        <v>Residential</v>
      </c>
      <c r="E210" s="9" t="n">
        <f aca="false">Cleaned_Prepared_Data!M210</f>
        <v>804975.5</v>
      </c>
      <c r="F210" s="22" t="n">
        <f aca="false">Multiple_Regression!$B$6+Multiple_Regression!$B$7*Cleaned_Prepared_Data!F210+Multiple_Regression!$B$8*Cleaned_Prepared_Data!E210+Multiple_Regression!$B$9*Cleaned_Prepared_Data!I210+Multiple_Regression!$B$10*Cleaned_Prepared_Data!H210+Multiple_Regression!$B$11*Cleaned_Prepared_Data!G210+Multiple_Regression!$B$12*Dummy_Variables!D210+Multiple_Regression!$B$13*Dummy_Variables!E210+Multiple_Regression!$B$14*Dummy_Variables!F210</f>
        <v>752680.998415975</v>
      </c>
      <c r="G210" s="22" t="n">
        <f aca="false">E210-F210</f>
        <v>52294.5015840249</v>
      </c>
    </row>
    <row r="211" customFormat="false" ht="15" hidden="false" customHeight="true" outlineLevel="0" collapsed="false">
      <c r="A211" s="9" t="str">
        <f aca="false">Cleaned_Prepared_Data!A211</f>
        <v>STR-1054</v>
      </c>
      <c r="B211" s="10" t="n">
        <f aca="false">Cleaned_Prepared_Data!B211</f>
        <v>45717</v>
      </c>
      <c r="C211" s="9" t="str">
        <f aca="false">Cleaned_Prepared_Data!C211</f>
        <v>West</v>
      </c>
      <c r="D211" s="9" t="str">
        <f aca="false">Cleaned_Prepared_Data!D211</f>
        <v>Residential</v>
      </c>
      <c r="E211" s="9" t="n">
        <f aca="false">Cleaned_Prepared_Data!M211</f>
        <v>752321.72</v>
      </c>
      <c r="F211" s="22" t="n">
        <f aca="false">Multiple_Regression!$B$6+Multiple_Regression!$B$7*Cleaned_Prepared_Data!F211+Multiple_Regression!$B$8*Cleaned_Prepared_Data!E211+Multiple_Regression!$B$9*Cleaned_Prepared_Data!I211+Multiple_Regression!$B$10*Cleaned_Prepared_Data!H211+Multiple_Regression!$B$11*Cleaned_Prepared_Data!G211+Multiple_Regression!$B$12*Dummy_Variables!D211+Multiple_Regression!$B$13*Dummy_Variables!E211+Multiple_Regression!$B$14*Dummy_Variables!F211</f>
        <v>751937.280977282</v>
      </c>
      <c r="G211" s="22" t="n">
        <f aca="false">E211-F211</f>
        <v>384.439022718463</v>
      </c>
    </row>
    <row r="212" customFormat="false" ht="15" hidden="false" customHeight="true" outlineLevel="0" collapsed="false">
      <c r="A212" s="9" t="str">
        <f aca="false">Cleaned_Prepared_Data!A212</f>
        <v>STR-1054</v>
      </c>
      <c r="B212" s="10" t="n">
        <f aca="false">Cleaned_Prepared_Data!B212</f>
        <v>45748</v>
      </c>
      <c r="C212" s="9" t="str">
        <f aca="false">Cleaned_Prepared_Data!C212</f>
        <v>West</v>
      </c>
      <c r="D212" s="9" t="str">
        <f aca="false">Cleaned_Prepared_Data!D212</f>
        <v>Residential</v>
      </c>
      <c r="E212" s="9" t="n">
        <f aca="false">Cleaned_Prepared_Data!M212</f>
        <v>836908.24</v>
      </c>
      <c r="F212" s="22" t="n">
        <f aca="false">Multiple_Regression!$B$6+Multiple_Regression!$B$7*Cleaned_Prepared_Data!F212+Multiple_Regression!$B$8*Cleaned_Prepared_Data!E212+Multiple_Regression!$B$9*Cleaned_Prepared_Data!I212+Multiple_Regression!$B$10*Cleaned_Prepared_Data!H212+Multiple_Regression!$B$11*Cleaned_Prepared_Data!G212+Multiple_Regression!$B$12*Dummy_Variables!D212+Multiple_Regression!$B$13*Dummy_Variables!E212+Multiple_Regression!$B$14*Dummy_Variables!F212</f>
        <v>812068.910536137</v>
      </c>
      <c r="G212" s="22" t="n">
        <f aca="false">E212-F212</f>
        <v>24839.3294638634</v>
      </c>
    </row>
    <row r="213" customFormat="false" ht="15" hidden="false" customHeight="true" outlineLevel="0" collapsed="false">
      <c r="A213" s="9" t="str">
        <f aca="false">Cleaned_Prepared_Data!A213</f>
        <v>STR-1055</v>
      </c>
      <c r="B213" s="10" t="n">
        <f aca="false">Cleaned_Prepared_Data!B213</f>
        <v>45658</v>
      </c>
      <c r="C213" s="9" t="str">
        <f aca="false">Cleaned_Prepared_Data!C213</f>
        <v>North</v>
      </c>
      <c r="D213" s="9" t="str">
        <f aca="false">Cleaned_Prepared_Data!D213</f>
        <v>Airport</v>
      </c>
      <c r="E213" s="9" t="n">
        <f aca="false">Cleaned_Prepared_Data!M213</f>
        <v>674289.1</v>
      </c>
      <c r="F213" s="22" t="n">
        <f aca="false">Multiple_Regression!$B$6+Multiple_Regression!$B$7*Cleaned_Prepared_Data!F213+Multiple_Regression!$B$8*Cleaned_Prepared_Data!E213+Multiple_Regression!$B$9*Cleaned_Prepared_Data!I213+Multiple_Regression!$B$10*Cleaned_Prepared_Data!H213+Multiple_Regression!$B$11*Cleaned_Prepared_Data!G213+Multiple_Regression!$B$12*Dummy_Variables!D213+Multiple_Regression!$B$13*Dummy_Variables!E213+Multiple_Regression!$B$14*Dummy_Variables!F213</f>
        <v>656338.421085321</v>
      </c>
      <c r="G213" s="22" t="n">
        <f aca="false">E213-F213</f>
        <v>17950.678914679</v>
      </c>
    </row>
    <row r="214" customFormat="false" ht="15" hidden="false" customHeight="true" outlineLevel="0" collapsed="false">
      <c r="A214" s="9" t="str">
        <f aca="false">Cleaned_Prepared_Data!A214</f>
        <v>STR-1055</v>
      </c>
      <c r="B214" s="10" t="n">
        <f aca="false">Cleaned_Prepared_Data!B214</f>
        <v>45689</v>
      </c>
      <c r="C214" s="9" t="str">
        <f aca="false">Cleaned_Prepared_Data!C214</f>
        <v>North</v>
      </c>
      <c r="D214" s="9" t="str">
        <f aca="false">Cleaned_Prepared_Data!D214</f>
        <v>Airport</v>
      </c>
      <c r="E214" s="9" t="n">
        <f aca="false">Cleaned_Prepared_Data!M214</f>
        <v>622892.42</v>
      </c>
      <c r="F214" s="22" t="n">
        <f aca="false">Multiple_Regression!$B$6+Multiple_Regression!$B$7*Cleaned_Prepared_Data!F214+Multiple_Regression!$B$8*Cleaned_Prepared_Data!E214+Multiple_Regression!$B$9*Cleaned_Prepared_Data!I214+Multiple_Regression!$B$10*Cleaned_Prepared_Data!H214+Multiple_Regression!$B$11*Cleaned_Prepared_Data!G214+Multiple_Regression!$B$12*Dummy_Variables!D214+Multiple_Regression!$B$13*Dummy_Variables!E214+Multiple_Regression!$B$14*Dummy_Variables!F214</f>
        <v>644057.196001517</v>
      </c>
      <c r="G214" s="22" t="n">
        <f aca="false">E214-F214</f>
        <v>-21164.7760015172</v>
      </c>
    </row>
    <row r="215" customFormat="false" ht="15" hidden="false" customHeight="true" outlineLevel="0" collapsed="false">
      <c r="A215" s="9" t="str">
        <f aca="false">Cleaned_Prepared_Data!A215</f>
        <v>STR-1055</v>
      </c>
      <c r="B215" s="10" t="n">
        <f aca="false">Cleaned_Prepared_Data!B215</f>
        <v>45717</v>
      </c>
      <c r="C215" s="9" t="str">
        <f aca="false">Cleaned_Prepared_Data!C215</f>
        <v>North</v>
      </c>
      <c r="D215" s="9" t="str">
        <f aca="false">Cleaned_Prepared_Data!D215</f>
        <v>Airport</v>
      </c>
      <c r="E215" s="9" t="n">
        <f aca="false">Cleaned_Prepared_Data!M215</f>
        <v>673348.56</v>
      </c>
      <c r="F215" s="22" t="n">
        <f aca="false">Multiple_Regression!$B$6+Multiple_Regression!$B$7*Cleaned_Prepared_Data!F215+Multiple_Regression!$B$8*Cleaned_Prepared_Data!E215+Multiple_Regression!$B$9*Cleaned_Prepared_Data!I215+Multiple_Regression!$B$10*Cleaned_Prepared_Data!H215+Multiple_Regression!$B$11*Cleaned_Prepared_Data!G215+Multiple_Regression!$B$12*Dummy_Variables!D215+Multiple_Regression!$B$13*Dummy_Variables!E215+Multiple_Regression!$B$14*Dummy_Variables!F215</f>
        <v>639435.529105514</v>
      </c>
      <c r="G215" s="22" t="n">
        <f aca="false">E215-F215</f>
        <v>33913.0308944859</v>
      </c>
    </row>
    <row r="216" customFormat="false" ht="15" hidden="false" customHeight="true" outlineLevel="0" collapsed="false">
      <c r="A216" s="9" t="str">
        <f aca="false">Cleaned_Prepared_Data!A216</f>
        <v>STR-1055</v>
      </c>
      <c r="B216" s="10" t="n">
        <f aca="false">Cleaned_Prepared_Data!B216</f>
        <v>45748</v>
      </c>
      <c r="C216" s="9" t="str">
        <f aca="false">Cleaned_Prepared_Data!C216</f>
        <v>North</v>
      </c>
      <c r="D216" s="9" t="str">
        <f aca="false">Cleaned_Prepared_Data!D216</f>
        <v>Airport</v>
      </c>
      <c r="E216" s="9" t="n">
        <f aca="false">Cleaned_Prepared_Data!M216</f>
        <v>606278.3</v>
      </c>
      <c r="F216" s="22" t="n">
        <f aca="false">Multiple_Regression!$B$6+Multiple_Regression!$B$7*Cleaned_Prepared_Data!F216+Multiple_Regression!$B$8*Cleaned_Prepared_Data!E216+Multiple_Regression!$B$9*Cleaned_Prepared_Data!I216+Multiple_Regression!$B$10*Cleaned_Prepared_Data!H216+Multiple_Regression!$B$11*Cleaned_Prepared_Data!G216+Multiple_Regression!$B$12*Dummy_Variables!D216+Multiple_Regression!$B$13*Dummy_Variables!E216+Multiple_Regression!$B$14*Dummy_Variables!F216</f>
        <v>609155.492093296</v>
      </c>
      <c r="G216" s="22" t="n">
        <f aca="false">E216-F216</f>
        <v>-2877.19209329574</v>
      </c>
    </row>
    <row r="217" customFormat="false" ht="15" hidden="false" customHeight="true" outlineLevel="0" collapsed="false">
      <c r="A217" s="9" t="str">
        <f aca="false">Cleaned_Prepared_Data!A217</f>
        <v>STR-1056</v>
      </c>
      <c r="B217" s="10" t="n">
        <f aca="false">Cleaned_Prepared_Data!B217</f>
        <v>45658</v>
      </c>
      <c r="C217" s="9" t="str">
        <f aca="false">Cleaned_Prepared_Data!C217</f>
        <v>East</v>
      </c>
      <c r="D217" s="9" t="str">
        <f aca="false">Cleaned_Prepared_Data!D217</f>
        <v>High Street</v>
      </c>
      <c r="E217" s="9" t="n">
        <f aca="false">Cleaned_Prepared_Data!M217</f>
        <v>712219.81</v>
      </c>
      <c r="F217" s="22" t="n">
        <f aca="false">Multiple_Regression!$B$6+Multiple_Regression!$B$7*Cleaned_Prepared_Data!F217+Multiple_Regression!$B$8*Cleaned_Prepared_Data!E217+Multiple_Regression!$B$9*Cleaned_Prepared_Data!I217+Multiple_Regression!$B$10*Cleaned_Prepared_Data!H217+Multiple_Regression!$B$11*Cleaned_Prepared_Data!G217+Multiple_Regression!$B$12*Dummy_Variables!D217+Multiple_Regression!$B$13*Dummy_Variables!E217+Multiple_Regression!$B$14*Dummy_Variables!F217</f>
        <v>708412.067984522</v>
      </c>
      <c r="G217" s="22" t="n">
        <f aca="false">E217-F217</f>
        <v>3807.74201547843</v>
      </c>
    </row>
    <row r="218" customFormat="false" ht="15" hidden="false" customHeight="true" outlineLevel="0" collapsed="false">
      <c r="A218" s="9" t="str">
        <f aca="false">Cleaned_Prepared_Data!A218</f>
        <v>STR-1056</v>
      </c>
      <c r="B218" s="10" t="n">
        <f aca="false">Cleaned_Prepared_Data!B218</f>
        <v>45689</v>
      </c>
      <c r="C218" s="9" t="str">
        <f aca="false">Cleaned_Prepared_Data!C218</f>
        <v>East</v>
      </c>
      <c r="D218" s="9" t="str">
        <f aca="false">Cleaned_Prepared_Data!D218</f>
        <v>High Street</v>
      </c>
      <c r="E218" s="9" t="n">
        <f aca="false">Cleaned_Prepared_Data!M218</f>
        <v>672670.54</v>
      </c>
      <c r="F218" s="22" t="n">
        <f aca="false">Multiple_Regression!$B$6+Multiple_Regression!$B$7*Cleaned_Prepared_Data!F218+Multiple_Regression!$B$8*Cleaned_Prepared_Data!E218+Multiple_Regression!$B$9*Cleaned_Prepared_Data!I218+Multiple_Regression!$B$10*Cleaned_Prepared_Data!H218+Multiple_Regression!$B$11*Cleaned_Prepared_Data!G218+Multiple_Regression!$B$12*Dummy_Variables!D218+Multiple_Regression!$B$13*Dummy_Variables!E218+Multiple_Regression!$B$14*Dummy_Variables!F218</f>
        <v>683777.806122698</v>
      </c>
      <c r="G218" s="22" t="n">
        <f aca="false">E218-F218</f>
        <v>-11107.2661226976</v>
      </c>
    </row>
    <row r="219" customFormat="false" ht="15" hidden="false" customHeight="true" outlineLevel="0" collapsed="false">
      <c r="A219" s="9" t="str">
        <f aca="false">Cleaned_Prepared_Data!A219</f>
        <v>STR-1056</v>
      </c>
      <c r="B219" s="10" t="n">
        <f aca="false">Cleaned_Prepared_Data!B219</f>
        <v>45717</v>
      </c>
      <c r="C219" s="9" t="str">
        <f aca="false">Cleaned_Prepared_Data!C219</f>
        <v>East</v>
      </c>
      <c r="D219" s="9" t="str">
        <f aca="false">Cleaned_Prepared_Data!D219</f>
        <v>High Street</v>
      </c>
      <c r="E219" s="9" t="n">
        <f aca="false">Cleaned_Prepared_Data!M219</f>
        <v>732667.92</v>
      </c>
      <c r="F219" s="22" t="n">
        <f aca="false">Multiple_Regression!$B$6+Multiple_Regression!$B$7*Cleaned_Prepared_Data!F219+Multiple_Regression!$B$8*Cleaned_Prepared_Data!E219+Multiple_Regression!$B$9*Cleaned_Prepared_Data!I219+Multiple_Regression!$B$10*Cleaned_Prepared_Data!H219+Multiple_Regression!$B$11*Cleaned_Prepared_Data!G219+Multiple_Regression!$B$12*Dummy_Variables!D219+Multiple_Regression!$B$13*Dummy_Variables!E219+Multiple_Regression!$B$14*Dummy_Variables!F219</f>
        <v>744846.077619868</v>
      </c>
      <c r="G219" s="22" t="n">
        <f aca="false">E219-F219</f>
        <v>-12178.1576198678</v>
      </c>
    </row>
    <row r="220" customFormat="false" ht="15" hidden="false" customHeight="true" outlineLevel="0" collapsed="false">
      <c r="A220" s="9" t="str">
        <f aca="false">Cleaned_Prepared_Data!A220</f>
        <v>STR-1056</v>
      </c>
      <c r="B220" s="10" t="n">
        <f aca="false">Cleaned_Prepared_Data!B220</f>
        <v>45748</v>
      </c>
      <c r="C220" s="9" t="str">
        <f aca="false">Cleaned_Prepared_Data!C220</f>
        <v>East</v>
      </c>
      <c r="D220" s="9" t="str">
        <f aca="false">Cleaned_Prepared_Data!D220</f>
        <v>High Street</v>
      </c>
      <c r="E220" s="9" t="n">
        <f aca="false">Cleaned_Prepared_Data!M220</f>
        <v>723531.4</v>
      </c>
      <c r="F220" s="22" t="n">
        <f aca="false">Multiple_Regression!$B$6+Multiple_Regression!$B$7*Cleaned_Prepared_Data!F220+Multiple_Regression!$B$8*Cleaned_Prepared_Data!E220+Multiple_Regression!$B$9*Cleaned_Prepared_Data!I220+Multiple_Regression!$B$10*Cleaned_Prepared_Data!H220+Multiple_Regression!$B$11*Cleaned_Prepared_Data!G220+Multiple_Regression!$B$12*Dummy_Variables!D220+Multiple_Regression!$B$13*Dummy_Variables!E220+Multiple_Regression!$B$14*Dummy_Variables!F220</f>
        <v>771027.600538159</v>
      </c>
      <c r="G220" s="22" t="n">
        <f aca="false">E220-F220</f>
        <v>-47496.2005381592</v>
      </c>
    </row>
    <row r="221" customFormat="false" ht="15" hidden="false" customHeight="true" outlineLevel="0" collapsed="false">
      <c r="A221" s="9" t="str">
        <f aca="false">Cleaned_Prepared_Data!A221</f>
        <v>STR-1057</v>
      </c>
      <c r="B221" s="10" t="n">
        <f aca="false">Cleaned_Prepared_Data!B221</f>
        <v>45658</v>
      </c>
      <c r="C221" s="9" t="str">
        <f aca="false">Cleaned_Prepared_Data!C221</f>
        <v>East</v>
      </c>
      <c r="D221" s="9" t="str">
        <f aca="false">Cleaned_Prepared_Data!D221</f>
        <v>Mall</v>
      </c>
      <c r="E221" s="9" t="n">
        <f aca="false">Cleaned_Prepared_Data!M221</f>
        <v>641564.6</v>
      </c>
      <c r="F221" s="22" t="n">
        <f aca="false">Multiple_Regression!$B$6+Multiple_Regression!$B$7*Cleaned_Prepared_Data!F221+Multiple_Regression!$B$8*Cleaned_Prepared_Data!E221+Multiple_Regression!$B$9*Cleaned_Prepared_Data!I221+Multiple_Regression!$B$10*Cleaned_Prepared_Data!H221+Multiple_Regression!$B$11*Cleaned_Prepared_Data!G221+Multiple_Regression!$B$12*Dummy_Variables!D221+Multiple_Regression!$B$13*Dummy_Variables!E221+Multiple_Regression!$B$14*Dummy_Variables!F221</f>
        <v>628562.754669111</v>
      </c>
      <c r="G221" s="22" t="n">
        <f aca="false">E221-F221</f>
        <v>13001.8453308886</v>
      </c>
    </row>
    <row r="222" customFormat="false" ht="15" hidden="false" customHeight="true" outlineLevel="0" collapsed="false">
      <c r="A222" s="9" t="str">
        <f aca="false">Cleaned_Prepared_Data!A222</f>
        <v>STR-1057</v>
      </c>
      <c r="B222" s="10" t="n">
        <f aca="false">Cleaned_Prepared_Data!B222</f>
        <v>45689</v>
      </c>
      <c r="C222" s="9" t="str">
        <f aca="false">Cleaned_Prepared_Data!C222</f>
        <v>East</v>
      </c>
      <c r="D222" s="9" t="str">
        <f aca="false">Cleaned_Prepared_Data!D222</f>
        <v>Mall</v>
      </c>
      <c r="E222" s="9" t="n">
        <f aca="false">Cleaned_Prepared_Data!M222</f>
        <v>536545.49</v>
      </c>
      <c r="F222" s="22" t="n">
        <f aca="false">Multiple_Regression!$B$6+Multiple_Regression!$B$7*Cleaned_Prepared_Data!F222+Multiple_Regression!$B$8*Cleaned_Prepared_Data!E222+Multiple_Regression!$B$9*Cleaned_Prepared_Data!I222+Multiple_Regression!$B$10*Cleaned_Prepared_Data!H222+Multiple_Regression!$B$11*Cleaned_Prepared_Data!G222+Multiple_Regression!$B$12*Dummy_Variables!D222+Multiple_Regression!$B$13*Dummy_Variables!E222+Multiple_Regression!$B$14*Dummy_Variables!F222</f>
        <v>544712.887539426</v>
      </c>
      <c r="G222" s="22" t="n">
        <f aca="false">E222-F222</f>
        <v>-8167.39753942622</v>
      </c>
    </row>
    <row r="223" customFormat="false" ht="15" hidden="false" customHeight="true" outlineLevel="0" collapsed="false">
      <c r="A223" s="9" t="str">
        <f aca="false">Cleaned_Prepared_Data!A223</f>
        <v>STR-1057</v>
      </c>
      <c r="B223" s="10" t="n">
        <f aca="false">Cleaned_Prepared_Data!B223</f>
        <v>45717</v>
      </c>
      <c r="C223" s="9" t="str">
        <f aca="false">Cleaned_Prepared_Data!C223</f>
        <v>East</v>
      </c>
      <c r="D223" s="9" t="str">
        <f aca="false">Cleaned_Prepared_Data!D223</f>
        <v>Mall</v>
      </c>
      <c r="E223" s="9" t="n">
        <f aca="false">Cleaned_Prepared_Data!M223</f>
        <v>527681.56</v>
      </c>
      <c r="F223" s="22" t="n">
        <f aca="false">Multiple_Regression!$B$6+Multiple_Regression!$B$7*Cleaned_Prepared_Data!F223+Multiple_Regression!$B$8*Cleaned_Prepared_Data!E223+Multiple_Regression!$B$9*Cleaned_Prepared_Data!I223+Multiple_Regression!$B$10*Cleaned_Prepared_Data!H223+Multiple_Regression!$B$11*Cleaned_Prepared_Data!G223+Multiple_Regression!$B$12*Dummy_Variables!D223+Multiple_Regression!$B$13*Dummy_Variables!E223+Multiple_Regression!$B$14*Dummy_Variables!F223</f>
        <v>570484.852154647</v>
      </c>
      <c r="G223" s="22" t="n">
        <f aca="false">E223-F223</f>
        <v>-42803.2921546472</v>
      </c>
    </row>
    <row r="224" customFormat="false" ht="15" hidden="false" customHeight="true" outlineLevel="0" collapsed="false">
      <c r="A224" s="9" t="str">
        <f aca="false">Cleaned_Prepared_Data!A224</f>
        <v>STR-1058</v>
      </c>
      <c r="B224" s="10" t="n">
        <f aca="false">Cleaned_Prepared_Data!B224</f>
        <v>45658</v>
      </c>
      <c r="C224" s="9" t="str">
        <f aca="false">Cleaned_Prepared_Data!C224</f>
        <v>East</v>
      </c>
      <c r="D224" s="9" t="str">
        <f aca="false">Cleaned_Prepared_Data!D224</f>
        <v>High Street</v>
      </c>
      <c r="E224" s="9" t="n">
        <f aca="false">Cleaned_Prepared_Data!M224</f>
        <v>570963.31</v>
      </c>
      <c r="F224" s="22" t="n">
        <f aca="false">Multiple_Regression!$B$6+Multiple_Regression!$B$7*Cleaned_Prepared_Data!F224+Multiple_Regression!$B$8*Cleaned_Prepared_Data!E224+Multiple_Regression!$B$9*Cleaned_Prepared_Data!I224+Multiple_Regression!$B$10*Cleaned_Prepared_Data!H224+Multiple_Regression!$B$11*Cleaned_Prepared_Data!G224+Multiple_Regression!$B$12*Dummy_Variables!D224+Multiple_Regression!$B$13*Dummy_Variables!E224+Multiple_Regression!$B$14*Dummy_Variables!F224</f>
        <v>626308.561928564</v>
      </c>
      <c r="G224" s="22" t="n">
        <f aca="false">E224-F224</f>
        <v>-55345.251928564</v>
      </c>
    </row>
    <row r="225" customFormat="false" ht="15" hidden="false" customHeight="true" outlineLevel="0" collapsed="false">
      <c r="A225" s="9" t="str">
        <f aca="false">Cleaned_Prepared_Data!A225</f>
        <v>STR-1058</v>
      </c>
      <c r="B225" s="10" t="n">
        <f aca="false">Cleaned_Prepared_Data!B225</f>
        <v>45689</v>
      </c>
      <c r="C225" s="9" t="str">
        <f aca="false">Cleaned_Prepared_Data!C225</f>
        <v>East</v>
      </c>
      <c r="D225" s="9" t="str">
        <f aca="false">Cleaned_Prepared_Data!D225</f>
        <v>High Street</v>
      </c>
      <c r="E225" s="9" t="n">
        <f aca="false">Cleaned_Prepared_Data!M225</f>
        <v>870937.4</v>
      </c>
      <c r="F225" s="22" t="n">
        <f aca="false">Multiple_Regression!$B$6+Multiple_Regression!$B$7*Cleaned_Prepared_Data!F225+Multiple_Regression!$B$8*Cleaned_Prepared_Data!E225+Multiple_Regression!$B$9*Cleaned_Prepared_Data!I225+Multiple_Regression!$B$10*Cleaned_Prepared_Data!H225+Multiple_Regression!$B$11*Cleaned_Prepared_Data!G225+Multiple_Regression!$B$12*Dummy_Variables!D225+Multiple_Regression!$B$13*Dummy_Variables!E225+Multiple_Regression!$B$14*Dummy_Variables!F225</f>
        <v>826239.858993694</v>
      </c>
      <c r="G225" s="22" t="n">
        <f aca="false">E225-F225</f>
        <v>44697.5410063062</v>
      </c>
    </row>
    <row r="226" customFormat="false" ht="15" hidden="false" customHeight="true" outlineLevel="0" collapsed="false">
      <c r="A226" s="9" t="str">
        <f aca="false">Cleaned_Prepared_Data!A226</f>
        <v>STR-1058</v>
      </c>
      <c r="B226" s="10" t="n">
        <f aca="false">Cleaned_Prepared_Data!B226</f>
        <v>45717</v>
      </c>
      <c r="C226" s="9" t="str">
        <f aca="false">Cleaned_Prepared_Data!C226</f>
        <v>East</v>
      </c>
      <c r="D226" s="9" t="str">
        <f aca="false">Cleaned_Prepared_Data!D226</f>
        <v>High Street</v>
      </c>
      <c r="E226" s="9" t="n">
        <f aca="false">Cleaned_Prepared_Data!M226</f>
        <v>596969.27</v>
      </c>
      <c r="F226" s="22" t="n">
        <f aca="false">Multiple_Regression!$B$6+Multiple_Regression!$B$7*Cleaned_Prepared_Data!F226+Multiple_Regression!$B$8*Cleaned_Prepared_Data!E226+Multiple_Regression!$B$9*Cleaned_Prepared_Data!I226+Multiple_Regression!$B$10*Cleaned_Prepared_Data!H226+Multiple_Regression!$B$11*Cleaned_Prepared_Data!G226+Multiple_Regression!$B$12*Dummy_Variables!D226+Multiple_Regression!$B$13*Dummy_Variables!E226+Multiple_Regression!$B$14*Dummy_Variables!F226</f>
        <v>636606.960809121</v>
      </c>
      <c r="G226" s="22" t="n">
        <f aca="false">E226-F226</f>
        <v>-39637.6908091208</v>
      </c>
    </row>
    <row r="227" customFormat="false" ht="15" hidden="false" customHeight="true" outlineLevel="0" collapsed="false">
      <c r="A227" s="9" t="str">
        <f aca="false">Cleaned_Prepared_Data!A227</f>
        <v>STR-1059</v>
      </c>
      <c r="B227" s="10" t="n">
        <f aca="false">Cleaned_Prepared_Data!B227</f>
        <v>45658</v>
      </c>
      <c r="C227" s="9" t="str">
        <f aca="false">Cleaned_Prepared_Data!C227</f>
        <v>West</v>
      </c>
      <c r="D227" s="9" t="str">
        <f aca="false">Cleaned_Prepared_Data!D227</f>
        <v>Residential</v>
      </c>
      <c r="E227" s="9" t="n">
        <f aca="false">Cleaned_Prepared_Data!M227</f>
        <v>658072.14</v>
      </c>
      <c r="F227" s="22" t="n">
        <f aca="false">Multiple_Regression!$B$6+Multiple_Regression!$B$7*Cleaned_Prepared_Data!F227+Multiple_Regression!$B$8*Cleaned_Prepared_Data!E227+Multiple_Regression!$B$9*Cleaned_Prepared_Data!I227+Multiple_Regression!$B$10*Cleaned_Prepared_Data!H227+Multiple_Regression!$B$11*Cleaned_Prepared_Data!G227+Multiple_Regression!$B$12*Dummy_Variables!D227+Multiple_Regression!$B$13*Dummy_Variables!E227+Multiple_Regression!$B$14*Dummy_Variables!F227</f>
        <v>603445.320747417</v>
      </c>
      <c r="G227" s="22" t="n">
        <f aca="false">E227-F227</f>
        <v>54626.8192525831</v>
      </c>
    </row>
    <row r="228" customFormat="false" ht="15" hidden="false" customHeight="true" outlineLevel="0" collapsed="false">
      <c r="A228" s="9" t="str">
        <f aca="false">Cleaned_Prepared_Data!A228</f>
        <v>STR-1059</v>
      </c>
      <c r="B228" s="10" t="n">
        <f aca="false">Cleaned_Prepared_Data!B228</f>
        <v>45689</v>
      </c>
      <c r="C228" s="9" t="str">
        <f aca="false">Cleaned_Prepared_Data!C228</f>
        <v>West</v>
      </c>
      <c r="D228" s="9" t="str">
        <f aca="false">Cleaned_Prepared_Data!D228</f>
        <v>Residential</v>
      </c>
      <c r="E228" s="9" t="n">
        <f aca="false">Cleaned_Prepared_Data!M228</f>
        <v>723305.11</v>
      </c>
      <c r="F228" s="22" t="n">
        <f aca="false">Multiple_Regression!$B$6+Multiple_Regression!$B$7*Cleaned_Prepared_Data!F228+Multiple_Regression!$B$8*Cleaned_Prepared_Data!E228+Multiple_Regression!$B$9*Cleaned_Prepared_Data!I228+Multiple_Regression!$B$10*Cleaned_Prepared_Data!H228+Multiple_Regression!$B$11*Cleaned_Prepared_Data!G228+Multiple_Regression!$B$12*Dummy_Variables!D228+Multiple_Regression!$B$13*Dummy_Variables!E228+Multiple_Regression!$B$14*Dummy_Variables!F228</f>
        <v>640493.989817523</v>
      </c>
      <c r="G228" s="22" t="n">
        <f aca="false">E228-F228</f>
        <v>82811.1201824767</v>
      </c>
    </row>
    <row r="229" customFormat="false" ht="15" hidden="false" customHeight="true" outlineLevel="0" collapsed="false">
      <c r="A229" s="9" t="str">
        <f aca="false">Cleaned_Prepared_Data!A229</f>
        <v>STR-1059</v>
      </c>
      <c r="B229" s="10" t="n">
        <f aca="false">Cleaned_Prepared_Data!B229</f>
        <v>45717</v>
      </c>
      <c r="C229" s="9" t="str">
        <f aca="false">Cleaned_Prepared_Data!C229</f>
        <v>West</v>
      </c>
      <c r="D229" s="9" t="str">
        <f aca="false">Cleaned_Prepared_Data!D229</f>
        <v>Residential</v>
      </c>
      <c r="E229" s="9" t="n">
        <f aca="false">Cleaned_Prepared_Data!M229</f>
        <v>640666.53</v>
      </c>
      <c r="F229" s="22" t="n">
        <f aca="false">Multiple_Regression!$B$6+Multiple_Regression!$B$7*Cleaned_Prepared_Data!F229+Multiple_Regression!$B$8*Cleaned_Prepared_Data!E229+Multiple_Regression!$B$9*Cleaned_Prepared_Data!I229+Multiple_Regression!$B$10*Cleaned_Prepared_Data!H229+Multiple_Regression!$B$11*Cleaned_Prepared_Data!G229+Multiple_Regression!$B$12*Dummy_Variables!D229+Multiple_Regression!$B$13*Dummy_Variables!E229+Multiple_Regression!$B$14*Dummy_Variables!F229</f>
        <v>625062.218623189</v>
      </c>
      <c r="G229" s="22" t="n">
        <f aca="false">E229-F229</f>
        <v>15604.3113768112</v>
      </c>
    </row>
    <row r="230" customFormat="false" ht="15" hidden="false" customHeight="true" outlineLevel="0" collapsed="false">
      <c r="A230" s="9" t="str">
        <f aca="false">Cleaned_Prepared_Data!A230</f>
        <v>STR-1059</v>
      </c>
      <c r="B230" s="10" t="n">
        <f aca="false">Cleaned_Prepared_Data!B230</f>
        <v>45748</v>
      </c>
      <c r="C230" s="9" t="str">
        <f aca="false">Cleaned_Prepared_Data!C230</f>
        <v>West</v>
      </c>
      <c r="D230" s="9" t="str">
        <f aca="false">Cleaned_Prepared_Data!D230</f>
        <v>Residential</v>
      </c>
      <c r="E230" s="9" t="n">
        <f aca="false">Cleaned_Prepared_Data!M230</f>
        <v>670629.48</v>
      </c>
      <c r="F230" s="22" t="n">
        <f aca="false">Multiple_Regression!$B$6+Multiple_Regression!$B$7*Cleaned_Prepared_Data!F230+Multiple_Regression!$B$8*Cleaned_Prepared_Data!E230+Multiple_Regression!$B$9*Cleaned_Prepared_Data!I230+Multiple_Regression!$B$10*Cleaned_Prepared_Data!H230+Multiple_Regression!$B$11*Cleaned_Prepared_Data!G230+Multiple_Regression!$B$12*Dummy_Variables!D230+Multiple_Regression!$B$13*Dummy_Variables!E230+Multiple_Regression!$B$14*Dummy_Variables!F230</f>
        <v>658121.537537164</v>
      </c>
      <c r="G230" s="22" t="n">
        <f aca="false">E230-F230</f>
        <v>12507.9424628363</v>
      </c>
    </row>
    <row r="231" customFormat="false" ht="15" hidden="false" customHeight="true" outlineLevel="0" collapsed="false">
      <c r="A231" s="9" t="str">
        <f aca="false">Cleaned_Prepared_Data!A231</f>
        <v>STR-1060</v>
      </c>
      <c r="B231" s="10" t="n">
        <f aca="false">Cleaned_Prepared_Data!B231</f>
        <v>45658</v>
      </c>
      <c r="C231" s="9" t="str">
        <f aca="false">Cleaned_Prepared_Data!C231</f>
        <v>West</v>
      </c>
      <c r="D231" s="9" t="str">
        <f aca="false">Cleaned_Prepared_Data!D231</f>
        <v>Mall</v>
      </c>
      <c r="E231" s="9" t="n">
        <f aca="false">Cleaned_Prepared_Data!M231</f>
        <v>721079.35</v>
      </c>
      <c r="F231" s="22" t="n">
        <f aca="false">Multiple_Regression!$B$6+Multiple_Regression!$B$7*Cleaned_Prepared_Data!F231+Multiple_Regression!$B$8*Cleaned_Prepared_Data!E231+Multiple_Regression!$B$9*Cleaned_Prepared_Data!I231+Multiple_Regression!$B$10*Cleaned_Prepared_Data!H231+Multiple_Regression!$B$11*Cleaned_Prepared_Data!G231+Multiple_Regression!$B$12*Dummy_Variables!D231+Multiple_Regression!$B$13*Dummy_Variables!E231+Multiple_Regression!$B$14*Dummy_Variables!F231</f>
        <v>795853.841884352</v>
      </c>
      <c r="G231" s="22" t="n">
        <f aca="false">E231-F231</f>
        <v>-74774.4918843516</v>
      </c>
    </row>
    <row r="232" customFormat="false" ht="15" hidden="false" customHeight="true" outlineLevel="0" collapsed="false">
      <c r="A232" s="9" t="str">
        <f aca="false">Cleaned_Prepared_Data!A232</f>
        <v>STR-1060</v>
      </c>
      <c r="B232" s="10" t="n">
        <f aca="false">Cleaned_Prepared_Data!B232</f>
        <v>45689</v>
      </c>
      <c r="C232" s="9" t="str">
        <f aca="false">Cleaned_Prepared_Data!C232</f>
        <v>West</v>
      </c>
      <c r="D232" s="9" t="str">
        <f aca="false">Cleaned_Prepared_Data!D232</f>
        <v>Mall</v>
      </c>
      <c r="E232" s="9" t="n">
        <f aca="false">Cleaned_Prepared_Data!M232</f>
        <v>810355.02</v>
      </c>
      <c r="F232" s="22" t="n">
        <f aca="false">Multiple_Regression!$B$6+Multiple_Regression!$B$7*Cleaned_Prepared_Data!F232+Multiple_Regression!$B$8*Cleaned_Prepared_Data!E232+Multiple_Regression!$B$9*Cleaned_Prepared_Data!I232+Multiple_Regression!$B$10*Cleaned_Prepared_Data!H232+Multiple_Regression!$B$11*Cleaned_Prepared_Data!G232+Multiple_Regression!$B$12*Dummy_Variables!D232+Multiple_Regression!$B$13*Dummy_Variables!E232+Multiple_Regression!$B$14*Dummy_Variables!F232</f>
        <v>828819.855321807</v>
      </c>
      <c r="G232" s="22" t="n">
        <f aca="false">E232-F232</f>
        <v>-18464.8353218074</v>
      </c>
    </row>
    <row r="233" customFormat="false" ht="15" hidden="false" customHeight="true" outlineLevel="0" collapsed="false">
      <c r="A233" s="9" t="str">
        <f aca="false">Cleaned_Prepared_Data!A233</f>
        <v>STR-1060</v>
      </c>
      <c r="B233" s="10" t="n">
        <f aca="false">Cleaned_Prepared_Data!B233</f>
        <v>45717</v>
      </c>
      <c r="C233" s="9" t="str">
        <f aca="false">Cleaned_Prepared_Data!C233</f>
        <v>West</v>
      </c>
      <c r="D233" s="9" t="str">
        <f aca="false">Cleaned_Prepared_Data!D233</f>
        <v>Mall</v>
      </c>
      <c r="E233" s="9" t="n">
        <f aca="false">Cleaned_Prepared_Data!M233</f>
        <v>761919.25</v>
      </c>
      <c r="F233" s="22" t="n">
        <f aca="false">Multiple_Regression!$B$6+Multiple_Regression!$B$7*Cleaned_Prepared_Data!F233+Multiple_Regression!$B$8*Cleaned_Prepared_Data!E233+Multiple_Regression!$B$9*Cleaned_Prepared_Data!I233+Multiple_Regression!$B$10*Cleaned_Prepared_Data!H233+Multiple_Regression!$B$11*Cleaned_Prepared_Data!G233+Multiple_Regression!$B$12*Dummy_Variables!D233+Multiple_Regression!$B$13*Dummy_Variables!E233+Multiple_Regression!$B$14*Dummy_Variables!F233</f>
        <v>778165.514455013</v>
      </c>
      <c r="G233" s="22" t="n">
        <f aca="false">E233-F233</f>
        <v>-16246.2644550132</v>
      </c>
    </row>
    <row r="234" customFormat="false" ht="15" hidden="false" customHeight="true" outlineLevel="0" collapsed="false">
      <c r="A234" s="9" t="str">
        <f aca="false">Cleaned_Prepared_Data!A234</f>
        <v>STR-1060</v>
      </c>
      <c r="B234" s="10" t="n">
        <f aca="false">Cleaned_Prepared_Data!B234</f>
        <v>45748</v>
      </c>
      <c r="C234" s="9" t="str">
        <f aca="false">Cleaned_Prepared_Data!C234</f>
        <v>West</v>
      </c>
      <c r="D234" s="9" t="str">
        <f aca="false">Cleaned_Prepared_Data!D234</f>
        <v>Mall</v>
      </c>
      <c r="E234" s="9" t="n">
        <f aca="false">Cleaned_Prepared_Data!M234</f>
        <v>737070.18</v>
      </c>
      <c r="F234" s="22" t="n">
        <f aca="false">Multiple_Regression!$B$6+Multiple_Regression!$B$7*Cleaned_Prepared_Data!F234+Multiple_Regression!$B$8*Cleaned_Prepared_Data!E234+Multiple_Regression!$B$9*Cleaned_Prepared_Data!I234+Multiple_Regression!$B$10*Cleaned_Prepared_Data!H234+Multiple_Regression!$B$11*Cleaned_Prepared_Data!G234+Multiple_Regression!$B$12*Dummy_Variables!D234+Multiple_Regression!$B$13*Dummy_Variables!E234+Multiple_Regression!$B$14*Dummy_Variables!F234</f>
        <v>732755.391374596</v>
      </c>
      <c r="G234" s="22" t="n">
        <f aca="false">E234-F234</f>
        <v>4314.78862540447</v>
      </c>
    </row>
    <row r="235" customFormat="false" ht="15" hidden="false" customHeight="true" outlineLevel="0" collapsed="false">
      <c r="A235" s="9" t="str">
        <f aca="false">Cleaned_Prepared_Data!A235</f>
        <v>STR-1061</v>
      </c>
      <c r="B235" s="10" t="n">
        <f aca="false">Cleaned_Prepared_Data!B235</f>
        <v>45658</v>
      </c>
      <c r="C235" s="9" t="str">
        <f aca="false">Cleaned_Prepared_Data!C235</f>
        <v>South</v>
      </c>
      <c r="D235" s="9" t="str">
        <f aca="false">Cleaned_Prepared_Data!D235</f>
        <v>Airport</v>
      </c>
      <c r="E235" s="9" t="n">
        <f aca="false">Cleaned_Prepared_Data!M235</f>
        <v>776992.93</v>
      </c>
      <c r="F235" s="22" t="n">
        <f aca="false">Multiple_Regression!$B$6+Multiple_Regression!$B$7*Cleaned_Prepared_Data!F235+Multiple_Regression!$B$8*Cleaned_Prepared_Data!E235+Multiple_Regression!$B$9*Cleaned_Prepared_Data!I235+Multiple_Regression!$B$10*Cleaned_Prepared_Data!H235+Multiple_Regression!$B$11*Cleaned_Prepared_Data!G235+Multiple_Regression!$B$12*Dummy_Variables!D235+Multiple_Regression!$B$13*Dummy_Variables!E235+Multiple_Regression!$B$14*Dummy_Variables!F235</f>
        <v>759469.974966314</v>
      </c>
      <c r="G235" s="22" t="n">
        <f aca="false">E235-F235</f>
        <v>17522.9550336859</v>
      </c>
    </row>
    <row r="236" customFormat="false" ht="15" hidden="false" customHeight="true" outlineLevel="0" collapsed="false">
      <c r="A236" s="9" t="str">
        <f aca="false">Cleaned_Prepared_Data!A236</f>
        <v>STR-1061</v>
      </c>
      <c r="B236" s="10" t="n">
        <f aca="false">Cleaned_Prepared_Data!B236</f>
        <v>45689</v>
      </c>
      <c r="C236" s="9" t="str">
        <f aca="false">Cleaned_Prepared_Data!C236</f>
        <v>South</v>
      </c>
      <c r="D236" s="9" t="str">
        <f aca="false">Cleaned_Prepared_Data!D236</f>
        <v>Airport</v>
      </c>
      <c r="E236" s="9" t="n">
        <f aca="false">Cleaned_Prepared_Data!M236</f>
        <v>676337.41</v>
      </c>
      <c r="F236" s="22" t="n">
        <f aca="false">Multiple_Regression!$B$6+Multiple_Regression!$B$7*Cleaned_Prepared_Data!F236+Multiple_Regression!$B$8*Cleaned_Prepared_Data!E236+Multiple_Regression!$B$9*Cleaned_Prepared_Data!I236+Multiple_Regression!$B$10*Cleaned_Prepared_Data!H236+Multiple_Regression!$B$11*Cleaned_Prepared_Data!G236+Multiple_Regression!$B$12*Dummy_Variables!D236+Multiple_Regression!$B$13*Dummy_Variables!E236+Multiple_Regression!$B$14*Dummy_Variables!F236</f>
        <v>657631.673572357</v>
      </c>
      <c r="G236" s="22" t="n">
        <f aca="false">E236-F236</f>
        <v>18705.7364276435</v>
      </c>
    </row>
    <row r="237" customFormat="false" ht="15" hidden="false" customHeight="true" outlineLevel="0" collapsed="false">
      <c r="A237" s="9" t="str">
        <f aca="false">Cleaned_Prepared_Data!A237</f>
        <v>STR-1061</v>
      </c>
      <c r="B237" s="10" t="n">
        <f aca="false">Cleaned_Prepared_Data!B237</f>
        <v>45717</v>
      </c>
      <c r="C237" s="9" t="str">
        <f aca="false">Cleaned_Prepared_Data!C237</f>
        <v>South</v>
      </c>
      <c r="D237" s="9" t="str">
        <f aca="false">Cleaned_Prepared_Data!D237</f>
        <v>Airport</v>
      </c>
      <c r="E237" s="9" t="n">
        <f aca="false">Cleaned_Prepared_Data!M237</f>
        <v>828219.67</v>
      </c>
      <c r="F237" s="22" t="n">
        <f aca="false">Multiple_Regression!$B$6+Multiple_Regression!$B$7*Cleaned_Prepared_Data!F237+Multiple_Regression!$B$8*Cleaned_Prepared_Data!E237+Multiple_Regression!$B$9*Cleaned_Prepared_Data!I237+Multiple_Regression!$B$10*Cleaned_Prepared_Data!H237+Multiple_Regression!$B$11*Cleaned_Prepared_Data!G237+Multiple_Regression!$B$12*Dummy_Variables!D237+Multiple_Regression!$B$13*Dummy_Variables!E237+Multiple_Regression!$B$14*Dummy_Variables!F237</f>
        <v>829216.375462393</v>
      </c>
      <c r="G237" s="22" t="n">
        <f aca="false">E237-F237</f>
        <v>-996.705462392885</v>
      </c>
    </row>
    <row r="238" customFormat="false" ht="15" hidden="false" customHeight="true" outlineLevel="0" collapsed="false">
      <c r="A238" s="9" t="str">
        <f aca="false">Cleaned_Prepared_Data!A238</f>
        <v>STR-1061</v>
      </c>
      <c r="B238" s="10" t="n">
        <f aca="false">Cleaned_Prepared_Data!B238</f>
        <v>45748</v>
      </c>
      <c r="C238" s="9" t="str">
        <f aca="false">Cleaned_Prepared_Data!C238</f>
        <v>South</v>
      </c>
      <c r="D238" s="9" t="str">
        <f aca="false">Cleaned_Prepared_Data!D238</f>
        <v>Airport</v>
      </c>
      <c r="E238" s="9" t="n">
        <f aca="false">Cleaned_Prepared_Data!M238</f>
        <v>763159.92</v>
      </c>
      <c r="F238" s="22" t="n">
        <f aca="false">Multiple_Regression!$B$6+Multiple_Regression!$B$7*Cleaned_Prepared_Data!F238+Multiple_Regression!$B$8*Cleaned_Prepared_Data!E238+Multiple_Regression!$B$9*Cleaned_Prepared_Data!I238+Multiple_Regression!$B$10*Cleaned_Prepared_Data!H238+Multiple_Regression!$B$11*Cleaned_Prepared_Data!G238+Multiple_Regression!$B$12*Dummy_Variables!D238+Multiple_Regression!$B$13*Dummy_Variables!E238+Multiple_Regression!$B$14*Dummy_Variables!F238</f>
        <v>780134.327217588</v>
      </c>
      <c r="G238" s="22" t="n">
        <f aca="false">E238-F238</f>
        <v>-16974.4072175875</v>
      </c>
    </row>
    <row r="239" customFormat="false" ht="15" hidden="false" customHeight="true" outlineLevel="0" collapsed="false">
      <c r="A239" s="9" t="str">
        <f aca="false">Cleaned_Prepared_Data!A239</f>
        <v>STR-1062</v>
      </c>
      <c r="B239" s="10" t="n">
        <f aca="false">Cleaned_Prepared_Data!B239</f>
        <v>45658</v>
      </c>
      <c r="C239" s="9" t="str">
        <f aca="false">Cleaned_Prepared_Data!C239</f>
        <v>East</v>
      </c>
      <c r="D239" s="9" t="str">
        <f aca="false">Cleaned_Prepared_Data!D239</f>
        <v>High Street</v>
      </c>
      <c r="E239" s="9" t="n">
        <f aca="false">Cleaned_Prepared_Data!M239</f>
        <v>802001.68</v>
      </c>
      <c r="F239" s="22" t="n">
        <f aca="false">Multiple_Regression!$B$6+Multiple_Regression!$B$7*Cleaned_Prepared_Data!F239+Multiple_Regression!$B$8*Cleaned_Prepared_Data!E239+Multiple_Regression!$B$9*Cleaned_Prepared_Data!I239+Multiple_Regression!$B$10*Cleaned_Prepared_Data!H239+Multiple_Regression!$B$11*Cleaned_Prepared_Data!G239+Multiple_Regression!$B$12*Dummy_Variables!D239+Multiple_Regression!$B$13*Dummy_Variables!E239+Multiple_Regression!$B$14*Dummy_Variables!F239</f>
        <v>792909.846162643</v>
      </c>
      <c r="G239" s="22" t="n">
        <f aca="false">E239-F239</f>
        <v>9091.83383735723</v>
      </c>
    </row>
    <row r="240" customFormat="false" ht="15" hidden="false" customHeight="true" outlineLevel="0" collapsed="false">
      <c r="A240" s="9" t="str">
        <f aca="false">Cleaned_Prepared_Data!A240</f>
        <v>STR-1062</v>
      </c>
      <c r="B240" s="10" t="n">
        <f aca="false">Cleaned_Prepared_Data!B240</f>
        <v>45689</v>
      </c>
      <c r="C240" s="9" t="str">
        <f aca="false">Cleaned_Prepared_Data!C240</f>
        <v>East</v>
      </c>
      <c r="D240" s="9" t="str">
        <f aca="false">Cleaned_Prepared_Data!D240</f>
        <v>High Street</v>
      </c>
      <c r="E240" s="9" t="n">
        <f aca="false">Cleaned_Prepared_Data!M240</f>
        <v>750471.34</v>
      </c>
      <c r="F240" s="22" t="n">
        <f aca="false">Multiple_Regression!$B$6+Multiple_Regression!$B$7*Cleaned_Prepared_Data!F240+Multiple_Regression!$B$8*Cleaned_Prepared_Data!E240+Multiple_Regression!$B$9*Cleaned_Prepared_Data!I240+Multiple_Regression!$B$10*Cleaned_Prepared_Data!H240+Multiple_Regression!$B$11*Cleaned_Prepared_Data!G240+Multiple_Regression!$B$12*Dummy_Variables!D240+Multiple_Regression!$B$13*Dummy_Variables!E240+Multiple_Regression!$B$14*Dummy_Variables!F240</f>
        <v>755622.521836477</v>
      </c>
      <c r="G240" s="22" t="n">
        <f aca="false">E240-F240</f>
        <v>-5151.1818364769</v>
      </c>
    </row>
    <row r="241" customFormat="false" ht="15" hidden="false" customHeight="true" outlineLevel="0" collapsed="false">
      <c r="A241" s="9" t="str">
        <f aca="false">Cleaned_Prepared_Data!A241</f>
        <v>STR-1062</v>
      </c>
      <c r="B241" s="10" t="n">
        <f aca="false">Cleaned_Prepared_Data!B241</f>
        <v>45717</v>
      </c>
      <c r="C241" s="9" t="str">
        <f aca="false">Cleaned_Prepared_Data!C241</f>
        <v>East</v>
      </c>
      <c r="D241" s="9" t="str">
        <f aca="false">Cleaned_Prepared_Data!D241</f>
        <v>High Street</v>
      </c>
      <c r="E241" s="9" t="n">
        <f aca="false">Cleaned_Prepared_Data!M241</f>
        <v>679230.86</v>
      </c>
      <c r="F241" s="22" t="n">
        <f aca="false">Multiple_Regression!$B$6+Multiple_Regression!$B$7*Cleaned_Prepared_Data!F241+Multiple_Regression!$B$8*Cleaned_Prepared_Data!E241+Multiple_Regression!$B$9*Cleaned_Prepared_Data!I241+Multiple_Regression!$B$10*Cleaned_Prepared_Data!H241+Multiple_Regression!$B$11*Cleaned_Prepared_Data!G241+Multiple_Regression!$B$12*Dummy_Variables!D241+Multiple_Regression!$B$13*Dummy_Variables!E241+Multiple_Regression!$B$14*Dummy_Variables!F241</f>
        <v>723242.310851139</v>
      </c>
      <c r="G241" s="22" t="n">
        <f aca="false">E241-F241</f>
        <v>-44011.4508511393</v>
      </c>
    </row>
    <row r="242" customFormat="false" ht="15" hidden="false" customHeight="true" outlineLevel="0" collapsed="false">
      <c r="A242" s="9" t="str">
        <f aca="false">Cleaned_Prepared_Data!A242</f>
        <v>STR-1062</v>
      </c>
      <c r="B242" s="10" t="n">
        <f aca="false">Cleaned_Prepared_Data!B242</f>
        <v>45748</v>
      </c>
      <c r="C242" s="9" t="str">
        <f aca="false">Cleaned_Prepared_Data!C242</f>
        <v>East</v>
      </c>
      <c r="D242" s="9" t="str">
        <f aca="false">Cleaned_Prepared_Data!D242</f>
        <v>High Street</v>
      </c>
      <c r="E242" s="9" t="n">
        <f aca="false">Cleaned_Prepared_Data!M242</f>
        <v>679888.74</v>
      </c>
      <c r="F242" s="22" t="n">
        <f aca="false">Multiple_Regression!$B$6+Multiple_Regression!$B$7*Cleaned_Prepared_Data!F242+Multiple_Regression!$B$8*Cleaned_Prepared_Data!E242+Multiple_Regression!$B$9*Cleaned_Prepared_Data!I242+Multiple_Regression!$B$10*Cleaned_Prepared_Data!H242+Multiple_Regression!$B$11*Cleaned_Prepared_Data!G242+Multiple_Regression!$B$12*Dummy_Variables!D242+Multiple_Regression!$B$13*Dummy_Variables!E242+Multiple_Regression!$B$14*Dummy_Variables!F242</f>
        <v>695798.552608321</v>
      </c>
      <c r="G242" s="22" t="n">
        <f aca="false">E242-F242</f>
        <v>-15909.8126083205</v>
      </c>
    </row>
    <row r="243" customFormat="false" ht="15" hidden="false" customHeight="true" outlineLevel="0" collapsed="false">
      <c r="A243" s="9" t="str">
        <f aca="false">Cleaned_Prepared_Data!A243</f>
        <v>STR-1063</v>
      </c>
      <c r="B243" s="10" t="n">
        <f aca="false">Cleaned_Prepared_Data!B243</f>
        <v>45689</v>
      </c>
      <c r="C243" s="9" t="str">
        <f aca="false">Cleaned_Prepared_Data!C243</f>
        <v>North</v>
      </c>
      <c r="D243" s="9" t="str">
        <f aca="false">Cleaned_Prepared_Data!D243</f>
        <v>High Street</v>
      </c>
      <c r="E243" s="9" t="n">
        <f aca="false">Cleaned_Prepared_Data!M243</f>
        <v>642751.42</v>
      </c>
      <c r="F243" s="22" t="n">
        <f aca="false">Multiple_Regression!$B$6+Multiple_Regression!$B$7*Cleaned_Prepared_Data!F243+Multiple_Regression!$B$8*Cleaned_Prepared_Data!E243+Multiple_Regression!$B$9*Cleaned_Prepared_Data!I243+Multiple_Regression!$B$10*Cleaned_Prepared_Data!H243+Multiple_Regression!$B$11*Cleaned_Prepared_Data!G243+Multiple_Regression!$B$12*Dummy_Variables!D243+Multiple_Regression!$B$13*Dummy_Variables!E243+Multiple_Regression!$B$14*Dummy_Variables!F243</f>
        <v>666060.940323861</v>
      </c>
      <c r="G243" s="22" t="n">
        <f aca="false">E243-F243</f>
        <v>-23309.5203238609</v>
      </c>
    </row>
    <row r="244" customFormat="false" ht="15" hidden="false" customHeight="true" outlineLevel="0" collapsed="false">
      <c r="A244" s="9" t="str">
        <f aca="false">Cleaned_Prepared_Data!A244</f>
        <v>STR-1063</v>
      </c>
      <c r="B244" s="10" t="n">
        <f aca="false">Cleaned_Prepared_Data!B244</f>
        <v>45717</v>
      </c>
      <c r="C244" s="9" t="str">
        <f aca="false">Cleaned_Prepared_Data!C244</f>
        <v>North</v>
      </c>
      <c r="D244" s="9" t="str">
        <f aca="false">Cleaned_Prepared_Data!D244</f>
        <v>High Street</v>
      </c>
      <c r="E244" s="9" t="n">
        <f aca="false">Cleaned_Prepared_Data!M244</f>
        <v>647953.78</v>
      </c>
      <c r="F244" s="22" t="n">
        <f aca="false">Multiple_Regression!$B$6+Multiple_Regression!$B$7*Cleaned_Prepared_Data!F244+Multiple_Regression!$B$8*Cleaned_Prepared_Data!E244+Multiple_Regression!$B$9*Cleaned_Prepared_Data!I244+Multiple_Regression!$B$10*Cleaned_Prepared_Data!H244+Multiple_Regression!$B$11*Cleaned_Prepared_Data!G244+Multiple_Regression!$B$12*Dummy_Variables!D244+Multiple_Regression!$B$13*Dummy_Variables!E244+Multiple_Regression!$B$14*Dummy_Variables!F244</f>
        <v>641583.828536463</v>
      </c>
      <c r="G244" s="22" t="n">
        <f aca="false">E244-F244</f>
        <v>6369.95146353752</v>
      </c>
    </row>
    <row r="245" customFormat="false" ht="15" hidden="false" customHeight="true" outlineLevel="0" collapsed="false">
      <c r="A245" s="9" t="str">
        <f aca="false">Cleaned_Prepared_Data!A245</f>
        <v>STR-1063</v>
      </c>
      <c r="B245" s="10" t="n">
        <f aca="false">Cleaned_Prepared_Data!B245</f>
        <v>45748</v>
      </c>
      <c r="C245" s="9" t="str">
        <f aca="false">Cleaned_Prepared_Data!C245</f>
        <v>North</v>
      </c>
      <c r="D245" s="9" t="str">
        <f aca="false">Cleaned_Prepared_Data!D245</f>
        <v>High Street</v>
      </c>
      <c r="E245" s="9" t="n">
        <f aca="false">Cleaned_Prepared_Data!M245</f>
        <v>729440.45</v>
      </c>
      <c r="F245" s="22" t="n">
        <f aca="false">Multiple_Regression!$B$6+Multiple_Regression!$B$7*Cleaned_Prepared_Data!F245+Multiple_Regression!$B$8*Cleaned_Prepared_Data!E245+Multiple_Regression!$B$9*Cleaned_Prepared_Data!I245+Multiple_Regression!$B$10*Cleaned_Prepared_Data!H245+Multiple_Regression!$B$11*Cleaned_Prepared_Data!G245+Multiple_Regression!$B$12*Dummy_Variables!D245+Multiple_Regression!$B$13*Dummy_Variables!E245+Multiple_Regression!$B$14*Dummy_Variables!F245</f>
        <v>706202.897426336</v>
      </c>
      <c r="G245" s="22" t="n">
        <f aca="false">E245-F245</f>
        <v>23237.5525736641</v>
      </c>
    </row>
    <row r="246" customFormat="false" ht="15" hidden="false" customHeight="true" outlineLevel="0" collapsed="false">
      <c r="A246" s="9" t="str">
        <f aca="false">Cleaned_Prepared_Data!A246</f>
        <v>STR-1064</v>
      </c>
      <c r="B246" s="10" t="n">
        <f aca="false">Cleaned_Prepared_Data!B246</f>
        <v>45658</v>
      </c>
      <c r="C246" s="9" t="str">
        <f aca="false">Cleaned_Prepared_Data!C246</f>
        <v>South</v>
      </c>
      <c r="D246" s="9" t="str">
        <f aca="false">Cleaned_Prepared_Data!D246</f>
        <v>Airport</v>
      </c>
      <c r="E246" s="9" t="n">
        <f aca="false">Cleaned_Prepared_Data!M246</f>
        <v>764949</v>
      </c>
      <c r="F246" s="22" t="n">
        <f aca="false">Multiple_Regression!$B$6+Multiple_Regression!$B$7*Cleaned_Prepared_Data!F246+Multiple_Regression!$B$8*Cleaned_Prepared_Data!E246+Multiple_Regression!$B$9*Cleaned_Prepared_Data!I246+Multiple_Regression!$B$10*Cleaned_Prepared_Data!H246+Multiple_Regression!$B$11*Cleaned_Prepared_Data!G246+Multiple_Regression!$B$12*Dummy_Variables!D246+Multiple_Regression!$B$13*Dummy_Variables!E246+Multiple_Regression!$B$14*Dummy_Variables!F246</f>
        <v>771949.867786243</v>
      </c>
      <c r="G246" s="22" t="n">
        <f aca="false">E246-F246</f>
        <v>-7000.86778624344</v>
      </c>
    </row>
    <row r="247" customFormat="false" ht="15" hidden="false" customHeight="true" outlineLevel="0" collapsed="false">
      <c r="A247" s="9" t="str">
        <f aca="false">Cleaned_Prepared_Data!A247</f>
        <v>STR-1064</v>
      </c>
      <c r="B247" s="10" t="n">
        <f aca="false">Cleaned_Prepared_Data!B247</f>
        <v>45689</v>
      </c>
      <c r="C247" s="9" t="str">
        <f aca="false">Cleaned_Prepared_Data!C247</f>
        <v>South</v>
      </c>
      <c r="D247" s="9" t="str">
        <f aca="false">Cleaned_Prepared_Data!D247</f>
        <v>Airport</v>
      </c>
      <c r="E247" s="9" t="n">
        <f aca="false">Cleaned_Prepared_Data!M247</f>
        <v>799046.94</v>
      </c>
      <c r="F247" s="22" t="n">
        <f aca="false">Multiple_Regression!$B$6+Multiple_Regression!$B$7*Cleaned_Prepared_Data!F247+Multiple_Regression!$B$8*Cleaned_Prepared_Data!E247+Multiple_Regression!$B$9*Cleaned_Prepared_Data!I247+Multiple_Regression!$B$10*Cleaned_Prepared_Data!H247+Multiple_Regression!$B$11*Cleaned_Prepared_Data!G247+Multiple_Regression!$B$12*Dummy_Variables!D247+Multiple_Regression!$B$13*Dummy_Variables!E247+Multiple_Regression!$B$14*Dummy_Variables!F247</f>
        <v>727304.087449927</v>
      </c>
      <c r="G247" s="22" t="n">
        <f aca="false">E247-F247</f>
        <v>71742.8525500731</v>
      </c>
    </row>
    <row r="248" customFormat="false" ht="15" hidden="false" customHeight="true" outlineLevel="0" collapsed="false">
      <c r="A248" s="9" t="str">
        <f aca="false">Cleaned_Prepared_Data!A248</f>
        <v>STR-1064</v>
      </c>
      <c r="B248" s="10" t="n">
        <f aca="false">Cleaned_Prepared_Data!B248</f>
        <v>45717</v>
      </c>
      <c r="C248" s="9" t="str">
        <f aca="false">Cleaned_Prepared_Data!C248</f>
        <v>South</v>
      </c>
      <c r="D248" s="9" t="str">
        <f aca="false">Cleaned_Prepared_Data!D248</f>
        <v>Airport</v>
      </c>
      <c r="E248" s="9" t="n">
        <f aca="false">Cleaned_Prepared_Data!M248</f>
        <v>720079.54</v>
      </c>
      <c r="F248" s="22" t="n">
        <f aca="false">Multiple_Regression!$B$6+Multiple_Regression!$B$7*Cleaned_Prepared_Data!F248+Multiple_Regression!$B$8*Cleaned_Prepared_Data!E248+Multiple_Regression!$B$9*Cleaned_Prepared_Data!I248+Multiple_Regression!$B$10*Cleaned_Prepared_Data!H248+Multiple_Regression!$B$11*Cleaned_Prepared_Data!G248+Multiple_Regression!$B$12*Dummy_Variables!D248+Multiple_Regression!$B$13*Dummy_Variables!E248+Multiple_Regression!$B$14*Dummy_Variables!F248</f>
        <v>691452.378985528</v>
      </c>
      <c r="G248" s="22" t="n">
        <f aca="false">E248-F248</f>
        <v>28627.1610144724</v>
      </c>
    </row>
    <row r="249" customFormat="false" ht="15" hidden="false" customHeight="true" outlineLevel="0" collapsed="false">
      <c r="A249" s="9" t="str">
        <f aca="false">Cleaned_Prepared_Data!A249</f>
        <v>STR-1064</v>
      </c>
      <c r="B249" s="10" t="n">
        <f aca="false">Cleaned_Prepared_Data!B249</f>
        <v>45748</v>
      </c>
      <c r="C249" s="9" t="str">
        <f aca="false">Cleaned_Prepared_Data!C249</f>
        <v>South</v>
      </c>
      <c r="D249" s="9" t="str">
        <f aca="false">Cleaned_Prepared_Data!D249</f>
        <v>Airport</v>
      </c>
      <c r="E249" s="9" t="n">
        <f aca="false">Cleaned_Prepared_Data!M249</f>
        <v>612390.14</v>
      </c>
      <c r="F249" s="22" t="n">
        <f aca="false">Multiple_Regression!$B$6+Multiple_Regression!$B$7*Cleaned_Prepared_Data!F249+Multiple_Regression!$B$8*Cleaned_Prepared_Data!E249+Multiple_Regression!$B$9*Cleaned_Prepared_Data!I249+Multiple_Regression!$B$10*Cleaned_Prepared_Data!H249+Multiple_Regression!$B$11*Cleaned_Prepared_Data!G249+Multiple_Regression!$B$12*Dummy_Variables!D249+Multiple_Regression!$B$13*Dummy_Variables!E249+Multiple_Regression!$B$14*Dummy_Variables!F249</f>
        <v>665995.816304508</v>
      </c>
      <c r="G249" s="22" t="n">
        <f aca="false">E249-F249</f>
        <v>-53605.6763045082</v>
      </c>
    </row>
    <row r="250" customFormat="false" ht="15" hidden="false" customHeight="true" outlineLevel="0" collapsed="false">
      <c r="A250" s="9" t="str">
        <f aca="false">Cleaned_Prepared_Data!A250</f>
        <v>STR-1065</v>
      </c>
      <c r="B250" s="10" t="n">
        <f aca="false">Cleaned_Prepared_Data!B250</f>
        <v>45658</v>
      </c>
      <c r="C250" s="9" t="str">
        <f aca="false">Cleaned_Prepared_Data!C250</f>
        <v>South</v>
      </c>
      <c r="D250" s="9" t="str">
        <f aca="false">Cleaned_Prepared_Data!D250</f>
        <v>Mall</v>
      </c>
      <c r="E250" s="9" t="n">
        <f aca="false">Cleaned_Prepared_Data!M250</f>
        <v>840108.12</v>
      </c>
      <c r="F250" s="22" t="n">
        <f aca="false">Multiple_Regression!$B$6+Multiple_Regression!$B$7*Cleaned_Prepared_Data!F250+Multiple_Regression!$B$8*Cleaned_Prepared_Data!E250+Multiple_Regression!$B$9*Cleaned_Prepared_Data!I250+Multiple_Regression!$B$10*Cleaned_Prepared_Data!H250+Multiple_Regression!$B$11*Cleaned_Prepared_Data!G250+Multiple_Regression!$B$12*Dummy_Variables!D250+Multiple_Regression!$B$13*Dummy_Variables!E250+Multiple_Regression!$B$14*Dummy_Variables!F250</f>
        <v>758652.316079746</v>
      </c>
      <c r="G250" s="22" t="n">
        <f aca="false">E250-F250</f>
        <v>81455.8039202541</v>
      </c>
    </row>
    <row r="251" customFormat="false" ht="15" hidden="false" customHeight="true" outlineLevel="0" collapsed="false">
      <c r="A251" s="9" t="str">
        <f aca="false">Cleaned_Prepared_Data!A251</f>
        <v>STR-1065</v>
      </c>
      <c r="B251" s="10" t="n">
        <f aca="false">Cleaned_Prepared_Data!B251</f>
        <v>45689</v>
      </c>
      <c r="C251" s="9" t="str">
        <f aca="false">Cleaned_Prepared_Data!C251</f>
        <v>South</v>
      </c>
      <c r="D251" s="9" t="str">
        <f aca="false">Cleaned_Prepared_Data!D251</f>
        <v>Mall</v>
      </c>
      <c r="E251" s="9" t="n">
        <f aca="false">Cleaned_Prepared_Data!M251</f>
        <v>697888.09</v>
      </c>
      <c r="F251" s="22" t="n">
        <f aca="false">Multiple_Regression!$B$6+Multiple_Regression!$B$7*Cleaned_Prepared_Data!F251+Multiple_Regression!$B$8*Cleaned_Prepared_Data!E251+Multiple_Regression!$B$9*Cleaned_Prepared_Data!I251+Multiple_Regression!$B$10*Cleaned_Prepared_Data!H251+Multiple_Regression!$B$11*Cleaned_Prepared_Data!G251+Multiple_Regression!$B$12*Dummy_Variables!D251+Multiple_Regression!$B$13*Dummy_Variables!E251+Multiple_Regression!$B$14*Dummy_Variables!F251</f>
        <v>681361.327974293</v>
      </c>
      <c r="G251" s="22" t="n">
        <f aca="false">E251-F251</f>
        <v>16526.7620257067</v>
      </c>
    </row>
    <row r="252" customFormat="false" ht="15" hidden="false" customHeight="true" outlineLevel="0" collapsed="false">
      <c r="A252" s="9" t="str">
        <f aca="false">Cleaned_Prepared_Data!A252</f>
        <v>STR-1065</v>
      </c>
      <c r="B252" s="10" t="n">
        <f aca="false">Cleaned_Prepared_Data!B252</f>
        <v>45717</v>
      </c>
      <c r="C252" s="9" t="str">
        <f aca="false">Cleaned_Prepared_Data!C252</f>
        <v>South</v>
      </c>
      <c r="D252" s="9" t="str">
        <f aca="false">Cleaned_Prepared_Data!D252</f>
        <v>Mall</v>
      </c>
      <c r="E252" s="9" t="n">
        <f aca="false">Cleaned_Prepared_Data!M252</f>
        <v>746115.59</v>
      </c>
      <c r="F252" s="22" t="n">
        <f aca="false">Multiple_Regression!$B$6+Multiple_Regression!$B$7*Cleaned_Prepared_Data!F252+Multiple_Regression!$B$8*Cleaned_Prepared_Data!E252+Multiple_Regression!$B$9*Cleaned_Prepared_Data!I252+Multiple_Regression!$B$10*Cleaned_Prepared_Data!H252+Multiple_Regression!$B$11*Cleaned_Prepared_Data!G252+Multiple_Regression!$B$12*Dummy_Variables!D252+Multiple_Regression!$B$13*Dummy_Variables!E252+Multiple_Regression!$B$14*Dummy_Variables!F252</f>
        <v>741755.368966513</v>
      </c>
      <c r="G252" s="22" t="n">
        <f aca="false">E252-F252</f>
        <v>4360.22103348689</v>
      </c>
    </row>
    <row r="253" customFormat="false" ht="15" hidden="false" customHeight="true" outlineLevel="0" collapsed="false">
      <c r="A253" s="9" t="str">
        <f aca="false">Cleaned_Prepared_Data!A253</f>
        <v>STR-1065</v>
      </c>
      <c r="B253" s="10" t="n">
        <f aca="false">Cleaned_Prepared_Data!B253</f>
        <v>45748</v>
      </c>
      <c r="C253" s="9" t="str">
        <f aca="false">Cleaned_Prepared_Data!C253</f>
        <v>South</v>
      </c>
      <c r="D253" s="9" t="str">
        <f aca="false">Cleaned_Prepared_Data!D253</f>
        <v>Mall</v>
      </c>
      <c r="E253" s="9" t="n">
        <f aca="false">Cleaned_Prepared_Data!M253</f>
        <v>776110.32</v>
      </c>
      <c r="F253" s="22" t="n">
        <f aca="false">Multiple_Regression!$B$6+Multiple_Regression!$B$7*Cleaned_Prepared_Data!F253+Multiple_Regression!$B$8*Cleaned_Prepared_Data!E253+Multiple_Regression!$B$9*Cleaned_Prepared_Data!I253+Multiple_Regression!$B$10*Cleaned_Prepared_Data!H253+Multiple_Regression!$B$11*Cleaned_Prepared_Data!G253+Multiple_Regression!$B$12*Dummy_Variables!D253+Multiple_Regression!$B$13*Dummy_Variables!E253+Multiple_Regression!$B$14*Dummy_Variables!F253</f>
        <v>738779.661720896</v>
      </c>
      <c r="G253" s="22" t="n">
        <f aca="false">E253-F253</f>
        <v>37330.658279104</v>
      </c>
    </row>
    <row r="254" customFormat="false" ht="15" hidden="false" customHeight="true" outlineLevel="0" collapsed="false">
      <c r="A254" s="9" t="str">
        <f aca="false">Cleaned_Prepared_Data!A254</f>
        <v>STR-1066</v>
      </c>
      <c r="B254" s="10" t="n">
        <f aca="false">Cleaned_Prepared_Data!B254</f>
        <v>45658</v>
      </c>
      <c r="C254" s="9" t="str">
        <f aca="false">Cleaned_Prepared_Data!C254</f>
        <v>West</v>
      </c>
      <c r="D254" s="9" t="str">
        <f aca="false">Cleaned_Prepared_Data!D254</f>
        <v>High Street</v>
      </c>
      <c r="E254" s="9" t="n">
        <f aca="false">Cleaned_Prepared_Data!M254</f>
        <v>528852.62</v>
      </c>
      <c r="F254" s="22" t="n">
        <f aca="false">Multiple_Regression!$B$6+Multiple_Regression!$B$7*Cleaned_Prepared_Data!F254+Multiple_Regression!$B$8*Cleaned_Prepared_Data!E254+Multiple_Regression!$B$9*Cleaned_Prepared_Data!I254+Multiple_Regression!$B$10*Cleaned_Prepared_Data!H254+Multiple_Regression!$B$11*Cleaned_Prepared_Data!G254+Multiple_Regression!$B$12*Dummy_Variables!D254+Multiple_Regression!$B$13*Dummy_Variables!E254+Multiple_Regression!$B$14*Dummy_Variables!F254</f>
        <v>519821.841508508</v>
      </c>
      <c r="G254" s="22" t="n">
        <f aca="false">E254-F254</f>
        <v>9030.77849149192</v>
      </c>
    </row>
    <row r="255" customFormat="false" ht="15" hidden="false" customHeight="true" outlineLevel="0" collapsed="false">
      <c r="A255" s="9" t="str">
        <f aca="false">Cleaned_Prepared_Data!A255</f>
        <v>STR-1066</v>
      </c>
      <c r="B255" s="10" t="n">
        <f aca="false">Cleaned_Prepared_Data!B255</f>
        <v>45717</v>
      </c>
      <c r="C255" s="9" t="str">
        <f aca="false">Cleaned_Prepared_Data!C255</f>
        <v>West</v>
      </c>
      <c r="D255" s="9" t="str">
        <f aca="false">Cleaned_Prepared_Data!D255</f>
        <v>High Street</v>
      </c>
      <c r="E255" s="9" t="n">
        <f aca="false">Cleaned_Prepared_Data!M255</f>
        <v>677640.65</v>
      </c>
      <c r="F255" s="22" t="n">
        <f aca="false">Multiple_Regression!$B$6+Multiple_Regression!$B$7*Cleaned_Prepared_Data!F255+Multiple_Regression!$B$8*Cleaned_Prepared_Data!E255+Multiple_Regression!$B$9*Cleaned_Prepared_Data!I255+Multiple_Regression!$B$10*Cleaned_Prepared_Data!H255+Multiple_Regression!$B$11*Cleaned_Prepared_Data!G255+Multiple_Regression!$B$12*Dummy_Variables!D255+Multiple_Regression!$B$13*Dummy_Variables!E255+Multiple_Regression!$B$14*Dummy_Variables!F255</f>
        <v>602336.374774364</v>
      </c>
      <c r="G255" s="22" t="n">
        <f aca="false">E255-F255</f>
        <v>75304.2752256361</v>
      </c>
    </row>
    <row r="256" customFormat="false" ht="15" hidden="false" customHeight="true" outlineLevel="0" collapsed="false">
      <c r="A256" s="9" t="str">
        <f aca="false">Cleaned_Prepared_Data!A256</f>
        <v>STR-1066</v>
      </c>
      <c r="B256" s="10" t="n">
        <f aca="false">Cleaned_Prepared_Data!B256</f>
        <v>45748</v>
      </c>
      <c r="C256" s="9" t="str">
        <f aca="false">Cleaned_Prepared_Data!C256</f>
        <v>West</v>
      </c>
      <c r="D256" s="9" t="str">
        <f aca="false">Cleaned_Prepared_Data!D256</f>
        <v>High Street</v>
      </c>
      <c r="E256" s="9" t="n">
        <f aca="false">Cleaned_Prepared_Data!M256</f>
        <v>636613.23</v>
      </c>
      <c r="F256" s="22" t="n">
        <f aca="false">Multiple_Regression!$B$6+Multiple_Regression!$B$7*Cleaned_Prepared_Data!F256+Multiple_Regression!$B$8*Cleaned_Prepared_Data!E256+Multiple_Regression!$B$9*Cleaned_Prepared_Data!I256+Multiple_Regression!$B$10*Cleaned_Prepared_Data!H256+Multiple_Regression!$B$11*Cleaned_Prepared_Data!G256+Multiple_Regression!$B$12*Dummy_Variables!D256+Multiple_Regression!$B$13*Dummy_Variables!E256+Multiple_Regression!$B$14*Dummy_Variables!F256</f>
        <v>609320.614755908</v>
      </c>
      <c r="G256" s="22" t="n">
        <f aca="false">E256-F256</f>
        <v>27292.6152440923</v>
      </c>
    </row>
    <row r="257" customFormat="false" ht="15" hidden="false" customHeight="true" outlineLevel="0" collapsed="false">
      <c r="A257" s="9" t="str">
        <f aca="false">Cleaned_Prepared_Data!A257</f>
        <v>STR-1067</v>
      </c>
      <c r="B257" s="10" t="n">
        <f aca="false">Cleaned_Prepared_Data!B257</f>
        <v>45658</v>
      </c>
      <c r="C257" s="9" t="str">
        <f aca="false">Cleaned_Prepared_Data!C257</f>
        <v>East</v>
      </c>
      <c r="D257" s="9" t="str">
        <f aca="false">Cleaned_Prepared_Data!D257</f>
        <v>High Street</v>
      </c>
      <c r="E257" s="9" t="n">
        <f aca="false">Cleaned_Prepared_Data!M257</f>
        <v>708985.19</v>
      </c>
      <c r="F257" s="22" t="n">
        <f aca="false">Multiple_Regression!$B$6+Multiple_Regression!$B$7*Cleaned_Prepared_Data!F257+Multiple_Regression!$B$8*Cleaned_Prepared_Data!E257+Multiple_Regression!$B$9*Cleaned_Prepared_Data!I257+Multiple_Regression!$B$10*Cleaned_Prepared_Data!H257+Multiple_Regression!$B$11*Cleaned_Prepared_Data!G257+Multiple_Regression!$B$12*Dummy_Variables!D257+Multiple_Regression!$B$13*Dummy_Variables!E257+Multiple_Regression!$B$14*Dummy_Variables!F257</f>
        <v>725591.002649909</v>
      </c>
      <c r="G257" s="22" t="n">
        <f aca="false">E257-F257</f>
        <v>-16605.8126499092</v>
      </c>
    </row>
    <row r="258" customFormat="false" ht="15" hidden="false" customHeight="true" outlineLevel="0" collapsed="false">
      <c r="A258" s="9" t="str">
        <f aca="false">Cleaned_Prepared_Data!A258</f>
        <v>STR-1067</v>
      </c>
      <c r="B258" s="10" t="n">
        <f aca="false">Cleaned_Prepared_Data!B258</f>
        <v>45689</v>
      </c>
      <c r="C258" s="9" t="str">
        <f aca="false">Cleaned_Prepared_Data!C258</f>
        <v>East</v>
      </c>
      <c r="D258" s="9" t="str">
        <f aca="false">Cleaned_Prepared_Data!D258</f>
        <v>High Street</v>
      </c>
      <c r="E258" s="9" t="n">
        <f aca="false">Cleaned_Prepared_Data!M258</f>
        <v>767792.94</v>
      </c>
      <c r="F258" s="22" t="n">
        <f aca="false">Multiple_Regression!$B$6+Multiple_Regression!$B$7*Cleaned_Prepared_Data!F258+Multiple_Regression!$B$8*Cleaned_Prepared_Data!E258+Multiple_Regression!$B$9*Cleaned_Prepared_Data!I258+Multiple_Regression!$B$10*Cleaned_Prepared_Data!H258+Multiple_Regression!$B$11*Cleaned_Prepared_Data!G258+Multiple_Regression!$B$12*Dummy_Variables!D258+Multiple_Regression!$B$13*Dummy_Variables!E258+Multiple_Regression!$B$14*Dummy_Variables!F258</f>
        <v>741836.971533075</v>
      </c>
      <c r="G258" s="22" t="n">
        <f aca="false">E258-F258</f>
        <v>25955.9684669247</v>
      </c>
    </row>
    <row r="259" customFormat="false" ht="15" hidden="false" customHeight="true" outlineLevel="0" collapsed="false">
      <c r="A259" s="9" t="str">
        <f aca="false">Cleaned_Prepared_Data!A259</f>
        <v>STR-1067</v>
      </c>
      <c r="B259" s="10" t="n">
        <f aca="false">Cleaned_Prepared_Data!B259</f>
        <v>45717</v>
      </c>
      <c r="C259" s="9" t="str">
        <f aca="false">Cleaned_Prepared_Data!C259</f>
        <v>East</v>
      </c>
      <c r="D259" s="9" t="str">
        <f aca="false">Cleaned_Prepared_Data!D259</f>
        <v>High Street</v>
      </c>
      <c r="E259" s="9" t="n">
        <f aca="false">Cleaned_Prepared_Data!M259</f>
        <v>745580.51</v>
      </c>
      <c r="F259" s="22" t="n">
        <f aca="false">Multiple_Regression!$B$6+Multiple_Regression!$B$7*Cleaned_Prepared_Data!F259+Multiple_Regression!$B$8*Cleaned_Prepared_Data!E259+Multiple_Regression!$B$9*Cleaned_Prepared_Data!I259+Multiple_Regression!$B$10*Cleaned_Prepared_Data!H259+Multiple_Regression!$B$11*Cleaned_Prepared_Data!G259+Multiple_Regression!$B$12*Dummy_Variables!D259+Multiple_Regression!$B$13*Dummy_Variables!E259+Multiple_Regression!$B$14*Dummy_Variables!F259</f>
        <v>731771.149469307</v>
      </c>
      <c r="G259" s="22" t="n">
        <f aca="false">E259-F259</f>
        <v>13809.3605306931</v>
      </c>
    </row>
    <row r="260" customFormat="false" ht="15" hidden="false" customHeight="true" outlineLevel="0" collapsed="false">
      <c r="A260" s="9" t="str">
        <f aca="false">Cleaned_Prepared_Data!A260</f>
        <v>STR-1067</v>
      </c>
      <c r="B260" s="10" t="n">
        <f aca="false">Cleaned_Prepared_Data!B260</f>
        <v>45748</v>
      </c>
      <c r="C260" s="9" t="str">
        <f aca="false">Cleaned_Prepared_Data!C260</f>
        <v>East</v>
      </c>
      <c r="D260" s="9" t="str">
        <f aca="false">Cleaned_Prepared_Data!D260</f>
        <v>High Street</v>
      </c>
      <c r="E260" s="9" t="n">
        <f aca="false">Cleaned_Prepared_Data!M260</f>
        <v>762328.31</v>
      </c>
      <c r="F260" s="22" t="n">
        <f aca="false">Multiple_Regression!$B$6+Multiple_Regression!$B$7*Cleaned_Prepared_Data!F260+Multiple_Regression!$B$8*Cleaned_Prepared_Data!E260+Multiple_Regression!$B$9*Cleaned_Prepared_Data!I260+Multiple_Regression!$B$10*Cleaned_Prepared_Data!H260+Multiple_Regression!$B$11*Cleaned_Prepared_Data!G260+Multiple_Regression!$B$12*Dummy_Variables!D260+Multiple_Regression!$B$13*Dummy_Variables!E260+Multiple_Regression!$B$14*Dummy_Variables!F260</f>
        <v>728855.849631546</v>
      </c>
      <c r="G260" s="22" t="n">
        <f aca="false">E260-F260</f>
        <v>33472.4603684543</v>
      </c>
    </row>
    <row r="261" customFormat="false" ht="15" hidden="false" customHeight="true" outlineLevel="0" collapsed="false">
      <c r="A261" s="9" t="str">
        <f aca="false">Cleaned_Prepared_Data!A261</f>
        <v>STR-1068</v>
      </c>
      <c r="B261" s="10" t="n">
        <f aca="false">Cleaned_Prepared_Data!B261</f>
        <v>45658</v>
      </c>
      <c r="C261" s="9" t="str">
        <f aca="false">Cleaned_Prepared_Data!C261</f>
        <v>East</v>
      </c>
      <c r="D261" s="9" t="str">
        <f aca="false">Cleaned_Prepared_Data!D261</f>
        <v>Mall</v>
      </c>
      <c r="E261" s="9" t="n">
        <f aca="false">Cleaned_Prepared_Data!M261</f>
        <v>660633.99</v>
      </c>
      <c r="F261" s="22" t="n">
        <f aca="false">Multiple_Regression!$B$6+Multiple_Regression!$B$7*Cleaned_Prepared_Data!F261+Multiple_Regression!$B$8*Cleaned_Prepared_Data!E261+Multiple_Regression!$B$9*Cleaned_Prepared_Data!I261+Multiple_Regression!$B$10*Cleaned_Prepared_Data!H261+Multiple_Regression!$B$11*Cleaned_Prepared_Data!G261+Multiple_Regression!$B$12*Dummy_Variables!D261+Multiple_Regression!$B$13*Dummy_Variables!E261+Multiple_Regression!$B$14*Dummy_Variables!F261</f>
        <v>745443.817599517</v>
      </c>
      <c r="G261" s="22" t="n">
        <f aca="false">E261-F261</f>
        <v>-84809.8275995165</v>
      </c>
    </row>
    <row r="262" customFormat="false" ht="15" hidden="false" customHeight="true" outlineLevel="0" collapsed="false">
      <c r="A262" s="9" t="str">
        <f aca="false">Cleaned_Prepared_Data!A262</f>
        <v>STR-1068</v>
      </c>
      <c r="B262" s="10" t="n">
        <f aca="false">Cleaned_Prepared_Data!B262</f>
        <v>45689</v>
      </c>
      <c r="C262" s="9" t="str">
        <f aca="false">Cleaned_Prepared_Data!C262</f>
        <v>East</v>
      </c>
      <c r="D262" s="9" t="str">
        <f aca="false">Cleaned_Prepared_Data!D262</f>
        <v>Mall</v>
      </c>
      <c r="E262" s="9" t="n">
        <f aca="false">Cleaned_Prepared_Data!M262</f>
        <v>739374.56</v>
      </c>
      <c r="F262" s="22" t="n">
        <f aca="false">Multiple_Regression!$B$6+Multiple_Regression!$B$7*Cleaned_Prepared_Data!F262+Multiple_Regression!$B$8*Cleaned_Prepared_Data!E262+Multiple_Regression!$B$9*Cleaned_Prepared_Data!I262+Multiple_Regression!$B$10*Cleaned_Prepared_Data!H262+Multiple_Regression!$B$11*Cleaned_Prepared_Data!G262+Multiple_Regression!$B$12*Dummy_Variables!D262+Multiple_Regression!$B$13*Dummy_Variables!E262+Multiple_Regression!$B$14*Dummy_Variables!F262</f>
        <v>707925.253549243</v>
      </c>
      <c r="G262" s="22" t="n">
        <f aca="false">E262-F262</f>
        <v>31449.3064507571</v>
      </c>
    </row>
    <row r="263" customFormat="false" ht="15" hidden="false" customHeight="true" outlineLevel="0" collapsed="false">
      <c r="A263" s="9" t="str">
        <f aca="false">Cleaned_Prepared_Data!A263</f>
        <v>STR-1068</v>
      </c>
      <c r="B263" s="10" t="n">
        <f aca="false">Cleaned_Prepared_Data!B263</f>
        <v>45717</v>
      </c>
      <c r="C263" s="9" t="str">
        <f aca="false">Cleaned_Prepared_Data!C263</f>
        <v>East</v>
      </c>
      <c r="D263" s="9" t="str">
        <f aca="false">Cleaned_Prepared_Data!D263</f>
        <v>Mall</v>
      </c>
      <c r="E263" s="9" t="n">
        <f aca="false">Cleaned_Prepared_Data!M263</f>
        <v>799756.46</v>
      </c>
      <c r="F263" s="22" t="n">
        <f aca="false">Multiple_Regression!$B$6+Multiple_Regression!$B$7*Cleaned_Prepared_Data!F263+Multiple_Regression!$B$8*Cleaned_Prepared_Data!E263+Multiple_Regression!$B$9*Cleaned_Prepared_Data!I263+Multiple_Regression!$B$10*Cleaned_Prepared_Data!H263+Multiple_Regression!$B$11*Cleaned_Prepared_Data!G263+Multiple_Regression!$B$12*Dummy_Variables!D263+Multiple_Regression!$B$13*Dummy_Variables!E263+Multiple_Regression!$B$14*Dummy_Variables!F263</f>
        <v>809573.174122906</v>
      </c>
      <c r="G263" s="22" t="n">
        <f aca="false">E263-F263</f>
        <v>-9816.71412290598</v>
      </c>
    </row>
    <row r="264" customFormat="false" ht="15" hidden="false" customHeight="true" outlineLevel="0" collapsed="false">
      <c r="A264" s="9" t="str">
        <f aca="false">Cleaned_Prepared_Data!A264</f>
        <v>STR-1068</v>
      </c>
      <c r="B264" s="10" t="n">
        <f aca="false">Cleaned_Prepared_Data!B264</f>
        <v>45748</v>
      </c>
      <c r="C264" s="9" t="str">
        <f aca="false">Cleaned_Prepared_Data!C264</f>
        <v>East</v>
      </c>
      <c r="D264" s="9" t="str">
        <f aca="false">Cleaned_Prepared_Data!D264</f>
        <v>Mall</v>
      </c>
      <c r="E264" s="9" t="n">
        <f aca="false">Cleaned_Prepared_Data!M264</f>
        <v>593343</v>
      </c>
      <c r="F264" s="22" t="n">
        <f aca="false">Multiple_Regression!$B$6+Multiple_Regression!$B$7*Cleaned_Prepared_Data!F264+Multiple_Regression!$B$8*Cleaned_Prepared_Data!E264+Multiple_Regression!$B$9*Cleaned_Prepared_Data!I264+Multiple_Regression!$B$10*Cleaned_Prepared_Data!H264+Multiple_Regression!$B$11*Cleaned_Prepared_Data!G264+Multiple_Regression!$B$12*Dummy_Variables!D264+Multiple_Regression!$B$13*Dummy_Variables!E264+Multiple_Regression!$B$14*Dummy_Variables!F264</f>
        <v>677853.05195918</v>
      </c>
      <c r="G264" s="22" t="n">
        <f aca="false">E264-F264</f>
        <v>-84510.0519591802</v>
      </c>
    </row>
    <row r="265" customFormat="false" ht="15" hidden="false" customHeight="true" outlineLevel="0" collapsed="false">
      <c r="A265" s="9" t="str">
        <f aca="false">Cleaned_Prepared_Data!A265</f>
        <v>STR-1069</v>
      </c>
      <c r="B265" s="10" t="n">
        <f aca="false">Cleaned_Prepared_Data!B265</f>
        <v>45658</v>
      </c>
      <c r="C265" s="9" t="str">
        <f aca="false">Cleaned_Prepared_Data!C265</f>
        <v>West</v>
      </c>
      <c r="D265" s="9" t="str">
        <f aca="false">Cleaned_Prepared_Data!D265</f>
        <v>High Street</v>
      </c>
      <c r="E265" s="9" t="n">
        <f aca="false">Cleaned_Prepared_Data!M265</f>
        <v>645039.97</v>
      </c>
      <c r="F265" s="22" t="n">
        <f aca="false">Multiple_Regression!$B$6+Multiple_Regression!$B$7*Cleaned_Prepared_Data!F265+Multiple_Regression!$B$8*Cleaned_Prepared_Data!E265+Multiple_Regression!$B$9*Cleaned_Prepared_Data!I265+Multiple_Regression!$B$10*Cleaned_Prepared_Data!H265+Multiple_Regression!$B$11*Cleaned_Prepared_Data!G265+Multiple_Regression!$B$12*Dummy_Variables!D265+Multiple_Regression!$B$13*Dummy_Variables!E265+Multiple_Regression!$B$14*Dummy_Variables!F265</f>
        <v>647479.634841225</v>
      </c>
      <c r="G265" s="22" t="n">
        <f aca="false">E265-F265</f>
        <v>-2439.66484122525</v>
      </c>
    </row>
    <row r="266" customFormat="false" ht="15" hidden="false" customHeight="true" outlineLevel="0" collapsed="false">
      <c r="A266" s="9" t="str">
        <f aca="false">Cleaned_Prepared_Data!A266</f>
        <v>STR-1069</v>
      </c>
      <c r="B266" s="10" t="n">
        <f aca="false">Cleaned_Prepared_Data!B266</f>
        <v>45689</v>
      </c>
      <c r="C266" s="9" t="str">
        <f aca="false">Cleaned_Prepared_Data!C266</f>
        <v>West</v>
      </c>
      <c r="D266" s="9" t="str">
        <f aca="false">Cleaned_Prepared_Data!D266</f>
        <v>High Street</v>
      </c>
      <c r="E266" s="9" t="n">
        <f aca="false">Cleaned_Prepared_Data!M266</f>
        <v>561597.33</v>
      </c>
      <c r="F266" s="22" t="n">
        <f aca="false">Multiple_Regression!$B$6+Multiple_Regression!$B$7*Cleaned_Prepared_Data!F266+Multiple_Regression!$B$8*Cleaned_Prepared_Data!E266+Multiple_Regression!$B$9*Cleaned_Prepared_Data!I266+Multiple_Regression!$B$10*Cleaned_Prepared_Data!H266+Multiple_Regression!$B$11*Cleaned_Prepared_Data!G266+Multiple_Regression!$B$12*Dummy_Variables!D266+Multiple_Regression!$B$13*Dummy_Variables!E266+Multiple_Regression!$B$14*Dummy_Variables!F266</f>
        <v>534799.722486653</v>
      </c>
      <c r="G266" s="22" t="n">
        <f aca="false">E266-F266</f>
        <v>26797.6075133469</v>
      </c>
    </row>
    <row r="267" customFormat="false" ht="15" hidden="false" customHeight="true" outlineLevel="0" collapsed="false">
      <c r="A267" s="9" t="str">
        <f aca="false">Cleaned_Prepared_Data!A267</f>
        <v>STR-1069</v>
      </c>
      <c r="B267" s="10" t="n">
        <f aca="false">Cleaned_Prepared_Data!B267</f>
        <v>45717</v>
      </c>
      <c r="C267" s="9" t="str">
        <f aca="false">Cleaned_Prepared_Data!C267</f>
        <v>West</v>
      </c>
      <c r="D267" s="9" t="str">
        <f aca="false">Cleaned_Prepared_Data!D267</f>
        <v>High Street</v>
      </c>
      <c r="E267" s="9" t="n">
        <f aca="false">Cleaned_Prepared_Data!M267</f>
        <v>635837.74</v>
      </c>
      <c r="F267" s="22" t="n">
        <f aca="false">Multiple_Regression!$B$6+Multiple_Regression!$B$7*Cleaned_Prepared_Data!F267+Multiple_Regression!$B$8*Cleaned_Prepared_Data!E267+Multiple_Regression!$B$9*Cleaned_Prepared_Data!I267+Multiple_Regression!$B$10*Cleaned_Prepared_Data!H267+Multiple_Regression!$B$11*Cleaned_Prepared_Data!G267+Multiple_Regression!$B$12*Dummy_Variables!D267+Multiple_Regression!$B$13*Dummy_Variables!E267+Multiple_Regression!$B$14*Dummy_Variables!F267</f>
        <v>653278.354862584</v>
      </c>
      <c r="G267" s="22" t="n">
        <f aca="false">E267-F267</f>
        <v>-17440.6148625836</v>
      </c>
    </row>
    <row r="268" customFormat="false" ht="15" hidden="false" customHeight="true" outlineLevel="0" collapsed="false">
      <c r="A268" s="9" t="str">
        <f aca="false">Cleaned_Prepared_Data!A268</f>
        <v>STR-1069</v>
      </c>
      <c r="B268" s="10" t="n">
        <f aca="false">Cleaned_Prepared_Data!B268</f>
        <v>45748</v>
      </c>
      <c r="C268" s="9" t="str">
        <f aca="false">Cleaned_Prepared_Data!C268</f>
        <v>West</v>
      </c>
      <c r="D268" s="9" t="str">
        <f aca="false">Cleaned_Prepared_Data!D268</f>
        <v>High Street</v>
      </c>
      <c r="E268" s="9" t="n">
        <f aca="false">Cleaned_Prepared_Data!M268</f>
        <v>686737.87</v>
      </c>
      <c r="F268" s="22" t="n">
        <f aca="false">Multiple_Regression!$B$6+Multiple_Regression!$B$7*Cleaned_Prepared_Data!F268+Multiple_Regression!$B$8*Cleaned_Prepared_Data!E268+Multiple_Regression!$B$9*Cleaned_Prepared_Data!I268+Multiple_Regression!$B$10*Cleaned_Prepared_Data!H268+Multiple_Regression!$B$11*Cleaned_Prepared_Data!G268+Multiple_Regression!$B$12*Dummy_Variables!D268+Multiple_Regression!$B$13*Dummy_Variables!E268+Multiple_Regression!$B$14*Dummy_Variables!F268</f>
        <v>607883.791623985</v>
      </c>
      <c r="G268" s="22" t="n">
        <f aca="false">E268-F268</f>
        <v>78854.078376015</v>
      </c>
    </row>
    <row r="269" customFormat="false" ht="15" hidden="false" customHeight="true" outlineLevel="0" collapsed="false">
      <c r="A269" s="9" t="str">
        <f aca="false">Cleaned_Prepared_Data!A269</f>
        <v>STR-1070</v>
      </c>
      <c r="B269" s="10" t="n">
        <f aca="false">Cleaned_Prepared_Data!B269</f>
        <v>45658</v>
      </c>
      <c r="C269" s="9" t="str">
        <f aca="false">Cleaned_Prepared_Data!C269</f>
        <v>South</v>
      </c>
      <c r="D269" s="9" t="str">
        <f aca="false">Cleaned_Prepared_Data!D269</f>
        <v>Residential</v>
      </c>
      <c r="E269" s="9" t="n">
        <f aca="false">Cleaned_Prepared_Data!M269</f>
        <v>673076.34</v>
      </c>
      <c r="F269" s="22" t="n">
        <f aca="false">Multiple_Regression!$B$6+Multiple_Regression!$B$7*Cleaned_Prepared_Data!F269+Multiple_Regression!$B$8*Cleaned_Prepared_Data!E269+Multiple_Regression!$B$9*Cleaned_Prepared_Data!I269+Multiple_Regression!$B$10*Cleaned_Prepared_Data!H269+Multiple_Regression!$B$11*Cleaned_Prepared_Data!G269+Multiple_Regression!$B$12*Dummy_Variables!D269+Multiple_Regression!$B$13*Dummy_Variables!E269+Multiple_Regression!$B$14*Dummy_Variables!F269</f>
        <v>728625.984447771</v>
      </c>
      <c r="G269" s="22" t="n">
        <f aca="false">E269-F269</f>
        <v>-55549.6444477709</v>
      </c>
    </row>
    <row r="270" customFormat="false" ht="15" hidden="false" customHeight="true" outlineLevel="0" collapsed="false">
      <c r="A270" s="9" t="str">
        <f aca="false">Cleaned_Prepared_Data!A270</f>
        <v>STR-1070</v>
      </c>
      <c r="B270" s="10" t="n">
        <f aca="false">Cleaned_Prepared_Data!B270</f>
        <v>45689</v>
      </c>
      <c r="C270" s="9" t="str">
        <f aca="false">Cleaned_Prepared_Data!C270</f>
        <v>South</v>
      </c>
      <c r="D270" s="9" t="str">
        <f aca="false">Cleaned_Prepared_Data!D270</f>
        <v>Residential</v>
      </c>
      <c r="E270" s="9" t="n">
        <f aca="false">Cleaned_Prepared_Data!M270</f>
        <v>738548.42</v>
      </c>
      <c r="F270" s="22" t="n">
        <f aca="false">Multiple_Regression!$B$6+Multiple_Regression!$B$7*Cleaned_Prepared_Data!F270+Multiple_Regression!$B$8*Cleaned_Prepared_Data!E270+Multiple_Regression!$B$9*Cleaned_Prepared_Data!I270+Multiple_Regression!$B$10*Cleaned_Prepared_Data!H270+Multiple_Regression!$B$11*Cleaned_Prepared_Data!G270+Multiple_Regression!$B$12*Dummy_Variables!D270+Multiple_Regression!$B$13*Dummy_Variables!E270+Multiple_Regression!$B$14*Dummy_Variables!F270</f>
        <v>700329.530055241</v>
      </c>
      <c r="G270" s="22" t="n">
        <f aca="false">E270-F270</f>
        <v>38218.8899447593</v>
      </c>
    </row>
    <row r="271" customFormat="false" ht="15" hidden="false" customHeight="true" outlineLevel="0" collapsed="false">
      <c r="A271" s="9" t="str">
        <f aca="false">Cleaned_Prepared_Data!A271</f>
        <v>STR-1070</v>
      </c>
      <c r="B271" s="10" t="n">
        <f aca="false">Cleaned_Prepared_Data!B271</f>
        <v>45717</v>
      </c>
      <c r="C271" s="9" t="str">
        <f aca="false">Cleaned_Prepared_Data!C271</f>
        <v>South</v>
      </c>
      <c r="D271" s="9" t="str">
        <f aca="false">Cleaned_Prepared_Data!D271</f>
        <v>Residential</v>
      </c>
      <c r="E271" s="9" t="n">
        <f aca="false">Cleaned_Prepared_Data!M271</f>
        <v>756619.77</v>
      </c>
      <c r="F271" s="22" t="n">
        <f aca="false">Multiple_Regression!$B$6+Multiple_Regression!$B$7*Cleaned_Prepared_Data!F271+Multiple_Regression!$B$8*Cleaned_Prepared_Data!E271+Multiple_Regression!$B$9*Cleaned_Prepared_Data!I271+Multiple_Regression!$B$10*Cleaned_Prepared_Data!H271+Multiple_Regression!$B$11*Cleaned_Prepared_Data!G271+Multiple_Regression!$B$12*Dummy_Variables!D271+Multiple_Regression!$B$13*Dummy_Variables!E271+Multiple_Regression!$B$14*Dummy_Variables!F271</f>
        <v>730694.571914561</v>
      </c>
      <c r="G271" s="22" t="n">
        <f aca="false">E271-F271</f>
        <v>25925.1980854392</v>
      </c>
    </row>
    <row r="272" customFormat="false" ht="15" hidden="false" customHeight="true" outlineLevel="0" collapsed="false">
      <c r="A272" s="9" t="str">
        <f aca="false">Cleaned_Prepared_Data!A272</f>
        <v>STR-1070</v>
      </c>
      <c r="B272" s="10" t="n">
        <f aca="false">Cleaned_Prepared_Data!B272</f>
        <v>45748</v>
      </c>
      <c r="C272" s="9" t="str">
        <f aca="false">Cleaned_Prepared_Data!C272</f>
        <v>South</v>
      </c>
      <c r="D272" s="9" t="str">
        <f aca="false">Cleaned_Prepared_Data!D272</f>
        <v>Residential</v>
      </c>
      <c r="E272" s="9" t="n">
        <f aca="false">Cleaned_Prepared_Data!M272</f>
        <v>761122.42</v>
      </c>
      <c r="F272" s="22" t="n">
        <f aca="false">Multiple_Regression!$B$6+Multiple_Regression!$B$7*Cleaned_Prepared_Data!F272+Multiple_Regression!$B$8*Cleaned_Prepared_Data!E272+Multiple_Regression!$B$9*Cleaned_Prepared_Data!I272+Multiple_Regression!$B$10*Cleaned_Prepared_Data!H272+Multiple_Regression!$B$11*Cleaned_Prepared_Data!G272+Multiple_Regression!$B$12*Dummy_Variables!D272+Multiple_Regression!$B$13*Dummy_Variables!E272+Multiple_Regression!$B$14*Dummy_Variables!F272</f>
        <v>776362.994418025</v>
      </c>
      <c r="G272" s="22" t="n">
        <f aca="false">E272-F272</f>
        <v>-15240.574418025</v>
      </c>
    </row>
    <row r="273" customFormat="false" ht="15" hidden="false" customHeight="true" outlineLevel="0" collapsed="false">
      <c r="A273" s="9" t="str">
        <f aca="false">Cleaned_Prepared_Data!A273</f>
        <v>STR-1071</v>
      </c>
      <c r="B273" s="10" t="n">
        <f aca="false">Cleaned_Prepared_Data!B273</f>
        <v>45658</v>
      </c>
      <c r="C273" s="9" t="str">
        <f aca="false">Cleaned_Prepared_Data!C273</f>
        <v>South</v>
      </c>
      <c r="D273" s="9" t="str">
        <f aca="false">Cleaned_Prepared_Data!D273</f>
        <v>High Street</v>
      </c>
      <c r="E273" s="9" t="n">
        <f aca="false">Cleaned_Prepared_Data!M273</f>
        <v>524899.57</v>
      </c>
      <c r="F273" s="22" t="n">
        <f aca="false">Multiple_Regression!$B$6+Multiple_Regression!$B$7*Cleaned_Prepared_Data!F273+Multiple_Regression!$B$8*Cleaned_Prepared_Data!E273+Multiple_Regression!$B$9*Cleaned_Prepared_Data!I273+Multiple_Regression!$B$10*Cleaned_Prepared_Data!H273+Multiple_Regression!$B$11*Cleaned_Prepared_Data!G273+Multiple_Regression!$B$12*Dummy_Variables!D273+Multiple_Regression!$B$13*Dummy_Variables!E273+Multiple_Regression!$B$14*Dummy_Variables!F273</f>
        <v>566958.149530317</v>
      </c>
      <c r="G273" s="22" t="n">
        <f aca="false">E273-F273</f>
        <v>-42058.5795303172</v>
      </c>
    </row>
    <row r="274" customFormat="false" ht="15" hidden="false" customHeight="true" outlineLevel="0" collapsed="false">
      <c r="A274" s="9" t="str">
        <f aca="false">Cleaned_Prepared_Data!A274</f>
        <v>STR-1071</v>
      </c>
      <c r="B274" s="10" t="n">
        <f aca="false">Cleaned_Prepared_Data!B274</f>
        <v>45689</v>
      </c>
      <c r="C274" s="9" t="str">
        <f aca="false">Cleaned_Prepared_Data!C274</f>
        <v>South</v>
      </c>
      <c r="D274" s="9" t="str">
        <f aca="false">Cleaned_Prepared_Data!D274</f>
        <v>High Street</v>
      </c>
      <c r="E274" s="9" t="n">
        <f aca="false">Cleaned_Prepared_Data!M274</f>
        <v>555557.77</v>
      </c>
      <c r="F274" s="22" t="n">
        <f aca="false">Multiple_Regression!$B$6+Multiple_Regression!$B$7*Cleaned_Prepared_Data!F274+Multiple_Regression!$B$8*Cleaned_Prepared_Data!E274+Multiple_Regression!$B$9*Cleaned_Prepared_Data!I274+Multiple_Regression!$B$10*Cleaned_Prepared_Data!H274+Multiple_Regression!$B$11*Cleaned_Prepared_Data!G274+Multiple_Regression!$B$12*Dummy_Variables!D274+Multiple_Regression!$B$13*Dummy_Variables!E274+Multiple_Regression!$B$14*Dummy_Variables!F274</f>
        <v>592204.237956879</v>
      </c>
      <c r="G274" s="22" t="n">
        <f aca="false">E274-F274</f>
        <v>-36646.4679568792</v>
      </c>
    </row>
    <row r="275" customFormat="false" ht="15" hidden="false" customHeight="true" outlineLevel="0" collapsed="false">
      <c r="A275" s="9" t="str">
        <f aca="false">Cleaned_Prepared_Data!A275</f>
        <v>STR-1071</v>
      </c>
      <c r="B275" s="10" t="n">
        <f aca="false">Cleaned_Prepared_Data!B275</f>
        <v>45717</v>
      </c>
      <c r="C275" s="9" t="str">
        <f aca="false">Cleaned_Prepared_Data!C275</f>
        <v>South</v>
      </c>
      <c r="D275" s="9" t="str">
        <f aca="false">Cleaned_Prepared_Data!D275</f>
        <v>High Street</v>
      </c>
      <c r="E275" s="9" t="n">
        <f aca="false">Cleaned_Prepared_Data!M275</f>
        <v>714083.68</v>
      </c>
      <c r="F275" s="22" t="n">
        <f aca="false">Multiple_Regression!$B$6+Multiple_Regression!$B$7*Cleaned_Prepared_Data!F275+Multiple_Regression!$B$8*Cleaned_Prepared_Data!E275+Multiple_Regression!$B$9*Cleaned_Prepared_Data!I275+Multiple_Regression!$B$10*Cleaned_Prepared_Data!H275+Multiple_Regression!$B$11*Cleaned_Prepared_Data!G275+Multiple_Regression!$B$12*Dummy_Variables!D275+Multiple_Regression!$B$13*Dummy_Variables!E275+Multiple_Regression!$B$14*Dummy_Variables!F275</f>
        <v>695095.223848337</v>
      </c>
      <c r="G275" s="22" t="n">
        <f aca="false">E275-F275</f>
        <v>18988.4561516627</v>
      </c>
    </row>
    <row r="276" customFormat="false" ht="15" hidden="false" customHeight="true" outlineLevel="0" collapsed="false">
      <c r="A276" s="9" t="str">
        <f aca="false">Cleaned_Prepared_Data!A276</f>
        <v>STR-1071</v>
      </c>
      <c r="B276" s="10" t="n">
        <f aca="false">Cleaned_Prepared_Data!B276</f>
        <v>45748</v>
      </c>
      <c r="C276" s="9" t="str">
        <f aca="false">Cleaned_Prepared_Data!C276</f>
        <v>South</v>
      </c>
      <c r="D276" s="9" t="str">
        <f aca="false">Cleaned_Prepared_Data!D276</f>
        <v>High Street</v>
      </c>
      <c r="E276" s="9" t="n">
        <f aca="false">Cleaned_Prepared_Data!M276</f>
        <v>497439.82</v>
      </c>
      <c r="F276" s="22" t="n">
        <f aca="false">Multiple_Regression!$B$6+Multiple_Regression!$B$7*Cleaned_Prepared_Data!F276+Multiple_Regression!$B$8*Cleaned_Prepared_Data!E276+Multiple_Regression!$B$9*Cleaned_Prepared_Data!I276+Multiple_Regression!$B$10*Cleaned_Prepared_Data!H276+Multiple_Regression!$B$11*Cleaned_Prepared_Data!G276+Multiple_Regression!$B$12*Dummy_Variables!D276+Multiple_Regression!$B$13*Dummy_Variables!E276+Multiple_Regression!$B$14*Dummy_Variables!F276</f>
        <v>500523.807787353</v>
      </c>
      <c r="G276" s="22" t="n">
        <f aca="false">E276-F276</f>
        <v>-3083.98778735253</v>
      </c>
    </row>
    <row r="277" customFormat="false" ht="15" hidden="false" customHeight="true" outlineLevel="0" collapsed="false">
      <c r="A277" s="9" t="str">
        <f aca="false">Cleaned_Prepared_Data!A277</f>
        <v>STR-1072</v>
      </c>
      <c r="B277" s="10" t="n">
        <f aca="false">Cleaned_Prepared_Data!B277</f>
        <v>45658</v>
      </c>
      <c r="C277" s="9" t="str">
        <f aca="false">Cleaned_Prepared_Data!C277</f>
        <v>West</v>
      </c>
      <c r="D277" s="9" t="str">
        <f aca="false">Cleaned_Prepared_Data!D277</f>
        <v>Residential</v>
      </c>
      <c r="E277" s="9" t="n">
        <f aca="false">Cleaned_Prepared_Data!M277</f>
        <v>636775.66</v>
      </c>
      <c r="F277" s="22" t="n">
        <f aca="false">Multiple_Regression!$B$6+Multiple_Regression!$B$7*Cleaned_Prepared_Data!F277+Multiple_Regression!$B$8*Cleaned_Prepared_Data!E277+Multiple_Regression!$B$9*Cleaned_Prepared_Data!I277+Multiple_Regression!$B$10*Cleaned_Prepared_Data!H277+Multiple_Regression!$B$11*Cleaned_Prepared_Data!G277+Multiple_Regression!$B$12*Dummy_Variables!D277+Multiple_Regression!$B$13*Dummy_Variables!E277+Multiple_Regression!$B$14*Dummy_Variables!F277</f>
        <v>633432.842279393</v>
      </c>
      <c r="G277" s="22" t="n">
        <f aca="false">E277-F277</f>
        <v>3342.81772060727</v>
      </c>
    </row>
    <row r="278" customFormat="false" ht="15" hidden="false" customHeight="true" outlineLevel="0" collapsed="false">
      <c r="A278" s="9" t="str">
        <f aca="false">Cleaned_Prepared_Data!A278</f>
        <v>STR-1072</v>
      </c>
      <c r="B278" s="10" t="n">
        <f aca="false">Cleaned_Prepared_Data!B278</f>
        <v>45689</v>
      </c>
      <c r="C278" s="9" t="str">
        <f aca="false">Cleaned_Prepared_Data!C278</f>
        <v>West</v>
      </c>
      <c r="D278" s="9" t="str">
        <f aca="false">Cleaned_Prepared_Data!D278</f>
        <v>Residential</v>
      </c>
      <c r="E278" s="9" t="n">
        <f aca="false">Cleaned_Prepared_Data!M278</f>
        <v>633009.53</v>
      </c>
      <c r="F278" s="22" t="n">
        <f aca="false">Multiple_Regression!$B$6+Multiple_Regression!$B$7*Cleaned_Prepared_Data!F278+Multiple_Regression!$B$8*Cleaned_Prepared_Data!E278+Multiple_Regression!$B$9*Cleaned_Prepared_Data!I278+Multiple_Regression!$B$10*Cleaned_Prepared_Data!H278+Multiple_Regression!$B$11*Cleaned_Prepared_Data!G278+Multiple_Regression!$B$12*Dummy_Variables!D278+Multiple_Regression!$B$13*Dummy_Variables!E278+Multiple_Regression!$B$14*Dummy_Variables!F278</f>
        <v>615074.643542281</v>
      </c>
      <c r="G278" s="22" t="n">
        <f aca="false">E278-F278</f>
        <v>17934.886457719</v>
      </c>
    </row>
    <row r="279" customFormat="false" ht="15" hidden="false" customHeight="true" outlineLevel="0" collapsed="false">
      <c r="A279" s="9" t="str">
        <f aca="false">Cleaned_Prepared_Data!A279</f>
        <v>STR-1072</v>
      </c>
      <c r="B279" s="10" t="n">
        <f aca="false">Cleaned_Prepared_Data!B279</f>
        <v>45717</v>
      </c>
      <c r="C279" s="9" t="str">
        <f aca="false">Cleaned_Prepared_Data!C279</f>
        <v>West</v>
      </c>
      <c r="D279" s="9" t="str">
        <f aca="false">Cleaned_Prepared_Data!D279</f>
        <v>Residential</v>
      </c>
      <c r="E279" s="9" t="n">
        <f aca="false">Cleaned_Prepared_Data!M279</f>
        <v>609949</v>
      </c>
      <c r="F279" s="22" t="n">
        <f aca="false">Multiple_Regression!$B$6+Multiple_Regression!$B$7*Cleaned_Prepared_Data!F279+Multiple_Regression!$B$8*Cleaned_Prepared_Data!E279+Multiple_Regression!$B$9*Cleaned_Prepared_Data!I279+Multiple_Regression!$B$10*Cleaned_Prepared_Data!H279+Multiple_Regression!$B$11*Cleaned_Prepared_Data!G279+Multiple_Regression!$B$12*Dummy_Variables!D279+Multiple_Regression!$B$13*Dummy_Variables!E279+Multiple_Regression!$B$14*Dummy_Variables!F279</f>
        <v>588470.175879099</v>
      </c>
      <c r="G279" s="22" t="n">
        <f aca="false">E279-F279</f>
        <v>21478.8241209012</v>
      </c>
    </row>
    <row r="280" customFormat="false" ht="15" hidden="false" customHeight="true" outlineLevel="0" collapsed="false">
      <c r="A280" s="9" t="str">
        <f aca="false">Cleaned_Prepared_Data!A280</f>
        <v>STR-1072</v>
      </c>
      <c r="B280" s="10" t="n">
        <f aca="false">Cleaned_Prepared_Data!B280</f>
        <v>45748</v>
      </c>
      <c r="C280" s="9" t="str">
        <f aca="false">Cleaned_Prepared_Data!C280</f>
        <v>West</v>
      </c>
      <c r="D280" s="9" t="str">
        <f aca="false">Cleaned_Prepared_Data!D280</f>
        <v>Residential</v>
      </c>
      <c r="E280" s="9" t="n">
        <f aca="false">Cleaned_Prepared_Data!M280</f>
        <v>548103.7</v>
      </c>
      <c r="F280" s="22" t="n">
        <f aca="false">Multiple_Regression!$B$6+Multiple_Regression!$B$7*Cleaned_Prepared_Data!F280+Multiple_Regression!$B$8*Cleaned_Prepared_Data!E280+Multiple_Regression!$B$9*Cleaned_Prepared_Data!I280+Multiple_Regression!$B$10*Cleaned_Prepared_Data!H280+Multiple_Regression!$B$11*Cleaned_Prepared_Data!G280+Multiple_Regression!$B$12*Dummy_Variables!D280+Multiple_Regression!$B$13*Dummy_Variables!E280+Multiple_Regression!$B$14*Dummy_Variables!F280</f>
        <v>548387.569913503</v>
      </c>
      <c r="G280" s="22" t="n">
        <f aca="false">E280-F280</f>
        <v>-283.869913502713</v>
      </c>
    </row>
    <row r="281" customFormat="false" ht="15" hidden="false" customHeight="true" outlineLevel="0" collapsed="false">
      <c r="A281" s="9" t="str">
        <f aca="false">Cleaned_Prepared_Data!A281</f>
        <v>STR-1073</v>
      </c>
      <c r="B281" s="10" t="n">
        <f aca="false">Cleaned_Prepared_Data!B281</f>
        <v>45658</v>
      </c>
      <c r="C281" s="9" t="str">
        <f aca="false">Cleaned_Prepared_Data!C281</f>
        <v>East</v>
      </c>
      <c r="D281" s="9" t="str">
        <f aca="false">Cleaned_Prepared_Data!D281</f>
        <v>Residential</v>
      </c>
      <c r="E281" s="9" t="n">
        <f aca="false">Cleaned_Prepared_Data!M281</f>
        <v>729424.42</v>
      </c>
      <c r="F281" s="22" t="n">
        <f aca="false">Multiple_Regression!$B$6+Multiple_Regression!$B$7*Cleaned_Prepared_Data!F281+Multiple_Regression!$B$8*Cleaned_Prepared_Data!E281+Multiple_Regression!$B$9*Cleaned_Prepared_Data!I281+Multiple_Regression!$B$10*Cleaned_Prepared_Data!H281+Multiple_Regression!$B$11*Cleaned_Prepared_Data!G281+Multiple_Regression!$B$12*Dummy_Variables!D281+Multiple_Regression!$B$13*Dummy_Variables!E281+Multiple_Regression!$B$14*Dummy_Variables!F281</f>
        <v>702270.516194229</v>
      </c>
      <c r="G281" s="22" t="n">
        <f aca="false">E281-F281</f>
        <v>27153.9038057715</v>
      </c>
    </row>
    <row r="282" customFormat="false" ht="15" hidden="false" customHeight="true" outlineLevel="0" collapsed="false">
      <c r="A282" s="9" t="str">
        <f aca="false">Cleaned_Prepared_Data!A282</f>
        <v>STR-1073</v>
      </c>
      <c r="B282" s="10" t="n">
        <f aca="false">Cleaned_Prepared_Data!B282</f>
        <v>45689</v>
      </c>
      <c r="C282" s="9" t="str">
        <f aca="false">Cleaned_Prepared_Data!C282</f>
        <v>East</v>
      </c>
      <c r="D282" s="9" t="str">
        <f aca="false">Cleaned_Prepared_Data!D282</f>
        <v>Residential</v>
      </c>
      <c r="E282" s="9" t="n">
        <f aca="false">Cleaned_Prepared_Data!M282</f>
        <v>696261.49</v>
      </c>
      <c r="F282" s="22" t="n">
        <f aca="false">Multiple_Regression!$B$6+Multiple_Regression!$B$7*Cleaned_Prepared_Data!F282+Multiple_Regression!$B$8*Cleaned_Prepared_Data!E282+Multiple_Regression!$B$9*Cleaned_Prepared_Data!I282+Multiple_Regression!$B$10*Cleaned_Prepared_Data!H282+Multiple_Regression!$B$11*Cleaned_Prepared_Data!G282+Multiple_Regression!$B$12*Dummy_Variables!D282+Multiple_Regression!$B$13*Dummy_Variables!E282+Multiple_Regression!$B$14*Dummy_Variables!F282</f>
        <v>723809.032677643</v>
      </c>
      <c r="G282" s="22" t="n">
        <f aca="false">E282-F282</f>
        <v>-27547.5426776434</v>
      </c>
    </row>
    <row r="283" customFormat="false" ht="15" hidden="false" customHeight="true" outlineLevel="0" collapsed="false">
      <c r="A283" s="9" t="str">
        <f aca="false">Cleaned_Prepared_Data!A283</f>
        <v>STR-1073</v>
      </c>
      <c r="B283" s="10" t="n">
        <f aca="false">Cleaned_Prepared_Data!B283</f>
        <v>45717</v>
      </c>
      <c r="C283" s="9" t="str">
        <f aca="false">Cleaned_Prepared_Data!C283</f>
        <v>East</v>
      </c>
      <c r="D283" s="9" t="str">
        <f aca="false">Cleaned_Prepared_Data!D283</f>
        <v>Residential</v>
      </c>
      <c r="E283" s="9" t="n">
        <f aca="false">Cleaned_Prepared_Data!M283</f>
        <v>813316.71</v>
      </c>
      <c r="F283" s="22" t="n">
        <f aca="false">Multiple_Regression!$B$6+Multiple_Regression!$B$7*Cleaned_Prepared_Data!F283+Multiple_Regression!$B$8*Cleaned_Prepared_Data!E283+Multiple_Regression!$B$9*Cleaned_Prepared_Data!I283+Multiple_Regression!$B$10*Cleaned_Prepared_Data!H283+Multiple_Regression!$B$11*Cleaned_Prepared_Data!G283+Multiple_Regression!$B$12*Dummy_Variables!D283+Multiple_Regression!$B$13*Dummy_Variables!E283+Multiple_Regression!$B$14*Dummy_Variables!F283</f>
        <v>719646.654305931</v>
      </c>
      <c r="G283" s="22" t="n">
        <f aca="false">E283-F283</f>
        <v>93670.0556940694</v>
      </c>
    </row>
    <row r="284" customFormat="false" ht="15" hidden="false" customHeight="true" outlineLevel="0" collapsed="false">
      <c r="A284" s="9" t="str">
        <f aca="false">Cleaned_Prepared_Data!A284</f>
        <v>STR-1073</v>
      </c>
      <c r="B284" s="10" t="n">
        <f aca="false">Cleaned_Prepared_Data!B284</f>
        <v>45748</v>
      </c>
      <c r="C284" s="9" t="str">
        <f aca="false">Cleaned_Prepared_Data!C284</f>
        <v>East</v>
      </c>
      <c r="D284" s="9" t="str">
        <f aca="false">Cleaned_Prepared_Data!D284</f>
        <v>Residential</v>
      </c>
      <c r="E284" s="9" t="n">
        <f aca="false">Cleaned_Prepared_Data!M284</f>
        <v>702068.92</v>
      </c>
      <c r="F284" s="22" t="n">
        <f aca="false">Multiple_Regression!$B$6+Multiple_Regression!$B$7*Cleaned_Prepared_Data!F284+Multiple_Regression!$B$8*Cleaned_Prepared_Data!E284+Multiple_Regression!$B$9*Cleaned_Prepared_Data!I284+Multiple_Regression!$B$10*Cleaned_Prepared_Data!H284+Multiple_Regression!$B$11*Cleaned_Prepared_Data!G284+Multiple_Regression!$B$12*Dummy_Variables!D284+Multiple_Regression!$B$13*Dummy_Variables!E284+Multiple_Regression!$B$14*Dummy_Variables!F284</f>
        <v>706673.780843205</v>
      </c>
      <c r="G284" s="22" t="n">
        <f aca="false">E284-F284</f>
        <v>-4604.86084320513</v>
      </c>
    </row>
    <row r="285" customFormat="false" ht="15" hidden="false" customHeight="true" outlineLevel="0" collapsed="false">
      <c r="A285" s="9" t="str">
        <f aca="false">Cleaned_Prepared_Data!A285</f>
        <v>STR-1074</v>
      </c>
      <c r="B285" s="10" t="n">
        <f aca="false">Cleaned_Prepared_Data!B285</f>
        <v>45658</v>
      </c>
      <c r="C285" s="9" t="str">
        <f aca="false">Cleaned_Prepared_Data!C285</f>
        <v>West</v>
      </c>
      <c r="D285" s="9" t="str">
        <f aca="false">Cleaned_Prepared_Data!D285</f>
        <v>High Street</v>
      </c>
      <c r="E285" s="9" t="n">
        <f aca="false">Cleaned_Prepared_Data!M285</f>
        <v>546223.7</v>
      </c>
      <c r="F285" s="22" t="n">
        <f aca="false">Multiple_Regression!$B$6+Multiple_Regression!$B$7*Cleaned_Prepared_Data!F285+Multiple_Regression!$B$8*Cleaned_Prepared_Data!E285+Multiple_Regression!$B$9*Cleaned_Prepared_Data!I285+Multiple_Regression!$B$10*Cleaned_Prepared_Data!H285+Multiple_Regression!$B$11*Cleaned_Prepared_Data!G285+Multiple_Regression!$B$12*Dummy_Variables!D285+Multiple_Regression!$B$13*Dummy_Variables!E285+Multiple_Regression!$B$14*Dummy_Variables!F285</f>
        <v>572136.567702794</v>
      </c>
      <c r="G285" s="22" t="n">
        <f aca="false">E285-F285</f>
        <v>-25912.8677027944</v>
      </c>
    </row>
    <row r="286" customFormat="false" ht="15" hidden="false" customHeight="true" outlineLevel="0" collapsed="false">
      <c r="A286" s="9" t="str">
        <f aca="false">Cleaned_Prepared_Data!A286</f>
        <v>STR-1074</v>
      </c>
      <c r="B286" s="10" t="n">
        <f aca="false">Cleaned_Prepared_Data!B286</f>
        <v>45689</v>
      </c>
      <c r="C286" s="9" t="str">
        <f aca="false">Cleaned_Prepared_Data!C286</f>
        <v>West</v>
      </c>
      <c r="D286" s="9" t="str">
        <f aca="false">Cleaned_Prepared_Data!D286</f>
        <v>High Street</v>
      </c>
      <c r="E286" s="9" t="n">
        <f aca="false">Cleaned_Prepared_Data!M286</f>
        <v>533121.26</v>
      </c>
      <c r="F286" s="22" t="n">
        <f aca="false">Multiple_Regression!$B$6+Multiple_Regression!$B$7*Cleaned_Prepared_Data!F286+Multiple_Regression!$B$8*Cleaned_Prepared_Data!E286+Multiple_Regression!$B$9*Cleaned_Prepared_Data!I286+Multiple_Regression!$B$10*Cleaned_Prepared_Data!H286+Multiple_Regression!$B$11*Cleaned_Prepared_Data!G286+Multiple_Regression!$B$12*Dummy_Variables!D286+Multiple_Regression!$B$13*Dummy_Variables!E286+Multiple_Regression!$B$14*Dummy_Variables!F286</f>
        <v>523057.266247333</v>
      </c>
      <c r="G286" s="22" t="n">
        <f aca="false">E286-F286</f>
        <v>10063.9937526666</v>
      </c>
    </row>
    <row r="287" customFormat="false" ht="15" hidden="false" customHeight="true" outlineLevel="0" collapsed="false">
      <c r="A287" s="9" t="str">
        <f aca="false">Cleaned_Prepared_Data!A287</f>
        <v>STR-1074</v>
      </c>
      <c r="B287" s="10" t="n">
        <f aca="false">Cleaned_Prepared_Data!B287</f>
        <v>45717</v>
      </c>
      <c r="C287" s="9" t="str">
        <f aca="false">Cleaned_Prepared_Data!C287</f>
        <v>West</v>
      </c>
      <c r="D287" s="9" t="str">
        <f aca="false">Cleaned_Prepared_Data!D287</f>
        <v>High Street</v>
      </c>
      <c r="E287" s="9" t="n">
        <f aca="false">Cleaned_Prepared_Data!M287</f>
        <v>498970.32</v>
      </c>
      <c r="F287" s="22" t="n">
        <f aca="false">Multiple_Regression!$B$6+Multiple_Regression!$B$7*Cleaned_Prepared_Data!F287+Multiple_Regression!$B$8*Cleaned_Prepared_Data!E287+Multiple_Regression!$B$9*Cleaned_Prepared_Data!I287+Multiple_Regression!$B$10*Cleaned_Prepared_Data!H287+Multiple_Regression!$B$11*Cleaned_Prepared_Data!G287+Multiple_Regression!$B$12*Dummy_Variables!D287+Multiple_Regression!$B$13*Dummy_Variables!E287+Multiple_Regression!$B$14*Dummy_Variables!F287</f>
        <v>499362.910919853</v>
      </c>
      <c r="G287" s="22" t="n">
        <f aca="false">E287-F287</f>
        <v>-392.59091985249</v>
      </c>
    </row>
    <row r="288" customFormat="false" ht="15" hidden="false" customHeight="true" outlineLevel="0" collapsed="false">
      <c r="A288" s="9" t="str">
        <f aca="false">Cleaned_Prepared_Data!A288</f>
        <v>STR-1074</v>
      </c>
      <c r="B288" s="10" t="n">
        <f aca="false">Cleaned_Prepared_Data!B288</f>
        <v>45748</v>
      </c>
      <c r="C288" s="9" t="str">
        <f aca="false">Cleaned_Prepared_Data!C288</f>
        <v>West</v>
      </c>
      <c r="D288" s="9" t="str">
        <f aca="false">Cleaned_Prepared_Data!D288</f>
        <v>High Street</v>
      </c>
      <c r="E288" s="9" t="n">
        <f aca="false">Cleaned_Prepared_Data!M288</f>
        <v>487738.26</v>
      </c>
      <c r="F288" s="22" t="n">
        <f aca="false">Multiple_Regression!$B$6+Multiple_Regression!$B$7*Cleaned_Prepared_Data!F288+Multiple_Regression!$B$8*Cleaned_Prepared_Data!E288+Multiple_Regression!$B$9*Cleaned_Prepared_Data!I288+Multiple_Regression!$B$10*Cleaned_Prepared_Data!H288+Multiple_Regression!$B$11*Cleaned_Prepared_Data!G288+Multiple_Regression!$B$12*Dummy_Variables!D288+Multiple_Regression!$B$13*Dummy_Variables!E288+Multiple_Regression!$B$14*Dummy_Variables!F288</f>
        <v>465177.943753611</v>
      </c>
      <c r="G288" s="22" t="n">
        <f aca="false">E288-F288</f>
        <v>22560.3162463887</v>
      </c>
    </row>
    <row r="289" customFormat="false" ht="15" hidden="false" customHeight="true" outlineLevel="0" collapsed="false">
      <c r="A289" s="9" t="str">
        <f aca="false">Cleaned_Prepared_Data!A289</f>
        <v>STR-1075</v>
      </c>
      <c r="B289" s="10" t="n">
        <f aca="false">Cleaned_Prepared_Data!B289</f>
        <v>45658</v>
      </c>
      <c r="C289" s="9" t="str">
        <f aca="false">Cleaned_Prepared_Data!C289</f>
        <v>West</v>
      </c>
      <c r="D289" s="9" t="str">
        <f aca="false">Cleaned_Prepared_Data!D289</f>
        <v>High Street</v>
      </c>
      <c r="E289" s="9" t="n">
        <f aca="false">Cleaned_Prepared_Data!M289</f>
        <v>668459.37</v>
      </c>
      <c r="F289" s="22" t="n">
        <f aca="false">Multiple_Regression!$B$6+Multiple_Regression!$B$7*Cleaned_Prepared_Data!F289+Multiple_Regression!$B$8*Cleaned_Prepared_Data!E289+Multiple_Regression!$B$9*Cleaned_Prepared_Data!I289+Multiple_Regression!$B$10*Cleaned_Prepared_Data!H289+Multiple_Regression!$B$11*Cleaned_Prepared_Data!G289+Multiple_Regression!$B$12*Dummy_Variables!D289+Multiple_Regression!$B$13*Dummy_Variables!E289+Multiple_Regression!$B$14*Dummy_Variables!F289</f>
        <v>668148.615568664</v>
      </c>
      <c r="G289" s="22" t="n">
        <f aca="false">E289-F289</f>
        <v>310.754431336536</v>
      </c>
    </row>
    <row r="290" customFormat="false" ht="15" hidden="false" customHeight="true" outlineLevel="0" collapsed="false">
      <c r="A290" s="9" t="str">
        <f aca="false">Cleaned_Prepared_Data!A290</f>
        <v>STR-1075</v>
      </c>
      <c r="B290" s="10" t="n">
        <f aca="false">Cleaned_Prepared_Data!B290</f>
        <v>45689</v>
      </c>
      <c r="C290" s="9" t="str">
        <f aca="false">Cleaned_Prepared_Data!C290</f>
        <v>West</v>
      </c>
      <c r="D290" s="9" t="str">
        <f aca="false">Cleaned_Prepared_Data!D290</f>
        <v>High Street</v>
      </c>
      <c r="E290" s="9" t="n">
        <f aca="false">Cleaned_Prepared_Data!M290</f>
        <v>763162.45</v>
      </c>
      <c r="F290" s="22" t="n">
        <f aca="false">Multiple_Regression!$B$6+Multiple_Regression!$B$7*Cleaned_Prepared_Data!F290+Multiple_Regression!$B$8*Cleaned_Prepared_Data!E290+Multiple_Regression!$B$9*Cleaned_Prepared_Data!I290+Multiple_Regression!$B$10*Cleaned_Prepared_Data!H290+Multiple_Regression!$B$11*Cleaned_Prepared_Data!G290+Multiple_Regression!$B$12*Dummy_Variables!D290+Multiple_Regression!$B$13*Dummy_Variables!E290+Multiple_Regression!$B$14*Dummy_Variables!F290</f>
        <v>678647.009861494</v>
      </c>
      <c r="G290" s="22" t="n">
        <f aca="false">E290-F290</f>
        <v>84515.4401385058</v>
      </c>
    </row>
    <row r="291" customFormat="false" ht="15" hidden="false" customHeight="true" outlineLevel="0" collapsed="false">
      <c r="A291" s="9" t="str">
        <f aca="false">Cleaned_Prepared_Data!A291</f>
        <v>STR-1075</v>
      </c>
      <c r="B291" s="10" t="n">
        <f aca="false">Cleaned_Prepared_Data!B291</f>
        <v>45717</v>
      </c>
      <c r="C291" s="9" t="str">
        <f aca="false">Cleaned_Prepared_Data!C291</f>
        <v>West</v>
      </c>
      <c r="D291" s="9" t="str">
        <f aca="false">Cleaned_Prepared_Data!D291</f>
        <v>High Street</v>
      </c>
      <c r="E291" s="9" t="n">
        <f aca="false">Cleaned_Prepared_Data!M291</f>
        <v>599017.33</v>
      </c>
      <c r="F291" s="22" t="n">
        <f aca="false">Multiple_Regression!$B$6+Multiple_Regression!$B$7*Cleaned_Prepared_Data!F291+Multiple_Regression!$B$8*Cleaned_Prepared_Data!E291+Multiple_Regression!$B$9*Cleaned_Prepared_Data!I291+Multiple_Regression!$B$10*Cleaned_Prepared_Data!H291+Multiple_Regression!$B$11*Cleaned_Prepared_Data!G291+Multiple_Regression!$B$12*Dummy_Variables!D291+Multiple_Regression!$B$13*Dummy_Variables!E291+Multiple_Regression!$B$14*Dummy_Variables!F291</f>
        <v>617397.088896423</v>
      </c>
      <c r="G291" s="22" t="n">
        <f aca="false">E291-F291</f>
        <v>-18379.7588964228</v>
      </c>
    </row>
    <row r="292" customFormat="false" ht="15" hidden="false" customHeight="true" outlineLevel="0" collapsed="false">
      <c r="A292" s="9" t="str">
        <f aca="false">Cleaned_Prepared_Data!A292</f>
        <v>STR-1075</v>
      </c>
      <c r="B292" s="10" t="n">
        <f aca="false">Cleaned_Prepared_Data!B292</f>
        <v>45748</v>
      </c>
      <c r="C292" s="9" t="str">
        <f aca="false">Cleaned_Prepared_Data!C292</f>
        <v>West</v>
      </c>
      <c r="D292" s="9" t="str">
        <f aca="false">Cleaned_Prepared_Data!D292</f>
        <v>High Street</v>
      </c>
      <c r="E292" s="9" t="n">
        <f aca="false">Cleaned_Prepared_Data!M292</f>
        <v>401582.58</v>
      </c>
      <c r="F292" s="22" t="n">
        <f aca="false">Multiple_Regression!$B$6+Multiple_Regression!$B$7*Cleaned_Prepared_Data!F292+Multiple_Regression!$B$8*Cleaned_Prepared_Data!E292+Multiple_Regression!$B$9*Cleaned_Prepared_Data!I292+Multiple_Regression!$B$10*Cleaned_Prepared_Data!H292+Multiple_Regression!$B$11*Cleaned_Prepared_Data!G292+Multiple_Regression!$B$12*Dummy_Variables!D292+Multiple_Regression!$B$13*Dummy_Variables!E292+Multiple_Regression!$B$14*Dummy_Variables!F292</f>
        <v>472922.304815447</v>
      </c>
      <c r="G292" s="22" t="n">
        <f aca="false">E292-F292</f>
        <v>-71339.7248154469</v>
      </c>
    </row>
    <row r="293" customFormat="false" ht="15" hidden="false" customHeight="true" outlineLevel="0" collapsed="false">
      <c r="A293" s="9" t="str">
        <f aca="false">Cleaned_Prepared_Data!A293</f>
        <v>STR-1076</v>
      </c>
      <c r="B293" s="10" t="n">
        <f aca="false">Cleaned_Prepared_Data!B293</f>
        <v>45658</v>
      </c>
      <c r="C293" s="9" t="str">
        <f aca="false">Cleaned_Prepared_Data!C293</f>
        <v>North</v>
      </c>
      <c r="D293" s="9" t="str">
        <f aca="false">Cleaned_Prepared_Data!D293</f>
        <v>Mall</v>
      </c>
      <c r="E293" s="9" t="n">
        <f aca="false">Cleaned_Prepared_Data!M293</f>
        <v>703812.99</v>
      </c>
      <c r="F293" s="22" t="n">
        <f aca="false">Multiple_Regression!$B$6+Multiple_Regression!$B$7*Cleaned_Prepared_Data!F293+Multiple_Regression!$B$8*Cleaned_Prepared_Data!E293+Multiple_Regression!$B$9*Cleaned_Prepared_Data!I293+Multiple_Regression!$B$10*Cleaned_Prepared_Data!H293+Multiple_Regression!$B$11*Cleaned_Prepared_Data!G293+Multiple_Regression!$B$12*Dummy_Variables!D293+Multiple_Regression!$B$13*Dummy_Variables!E293+Multiple_Regression!$B$14*Dummy_Variables!F293</f>
        <v>736881.295264911</v>
      </c>
      <c r="G293" s="22" t="n">
        <f aca="false">E293-F293</f>
        <v>-33068.3052649106</v>
      </c>
    </row>
    <row r="294" customFormat="false" ht="15" hidden="false" customHeight="true" outlineLevel="0" collapsed="false">
      <c r="A294" s="9" t="str">
        <f aca="false">Cleaned_Prepared_Data!A294</f>
        <v>STR-1076</v>
      </c>
      <c r="B294" s="10" t="n">
        <f aca="false">Cleaned_Prepared_Data!B294</f>
        <v>45689</v>
      </c>
      <c r="C294" s="9" t="str">
        <f aca="false">Cleaned_Prepared_Data!C294</f>
        <v>North</v>
      </c>
      <c r="D294" s="9" t="str">
        <f aca="false">Cleaned_Prepared_Data!D294</f>
        <v>Mall</v>
      </c>
      <c r="E294" s="9" t="n">
        <f aca="false">Cleaned_Prepared_Data!M294</f>
        <v>724346.73</v>
      </c>
      <c r="F294" s="22" t="n">
        <f aca="false">Multiple_Regression!$B$6+Multiple_Regression!$B$7*Cleaned_Prepared_Data!F294+Multiple_Regression!$B$8*Cleaned_Prepared_Data!E294+Multiple_Regression!$B$9*Cleaned_Prepared_Data!I294+Multiple_Regression!$B$10*Cleaned_Prepared_Data!H294+Multiple_Regression!$B$11*Cleaned_Prepared_Data!G294+Multiple_Regression!$B$12*Dummy_Variables!D294+Multiple_Regression!$B$13*Dummy_Variables!E294+Multiple_Regression!$B$14*Dummy_Variables!F294</f>
        <v>740619.109418144</v>
      </c>
      <c r="G294" s="22" t="n">
        <f aca="false">E294-F294</f>
        <v>-16272.3794181435</v>
      </c>
    </row>
    <row r="295" customFormat="false" ht="15" hidden="false" customHeight="true" outlineLevel="0" collapsed="false">
      <c r="A295" s="9" t="str">
        <f aca="false">Cleaned_Prepared_Data!A295</f>
        <v>STR-1076</v>
      </c>
      <c r="B295" s="10" t="n">
        <f aca="false">Cleaned_Prepared_Data!B295</f>
        <v>45717</v>
      </c>
      <c r="C295" s="9" t="str">
        <f aca="false">Cleaned_Prepared_Data!C295</f>
        <v>North</v>
      </c>
      <c r="D295" s="9" t="str">
        <f aca="false">Cleaned_Prepared_Data!D295</f>
        <v>Mall</v>
      </c>
      <c r="E295" s="9" t="n">
        <f aca="false">Cleaned_Prepared_Data!M295</f>
        <v>730890.01</v>
      </c>
      <c r="F295" s="22" t="n">
        <f aca="false">Multiple_Regression!$B$6+Multiple_Regression!$B$7*Cleaned_Prepared_Data!F295+Multiple_Regression!$B$8*Cleaned_Prepared_Data!E295+Multiple_Regression!$B$9*Cleaned_Prepared_Data!I295+Multiple_Regression!$B$10*Cleaned_Prepared_Data!H295+Multiple_Regression!$B$11*Cleaned_Prepared_Data!G295+Multiple_Regression!$B$12*Dummy_Variables!D295+Multiple_Regression!$B$13*Dummy_Variables!E295+Multiple_Regression!$B$14*Dummy_Variables!F295</f>
        <v>740885.578880658</v>
      </c>
      <c r="G295" s="22" t="n">
        <f aca="false">E295-F295</f>
        <v>-9995.56888065836</v>
      </c>
    </row>
    <row r="296" customFormat="false" ht="15" hidden="false" customHeight="true" outlineLevel="0" collapsed="false">
      <c r="A296" s="9" t="str">
        <f aca="false">Cleaned_Prepared_Data!A296</f>
        <v>STR-1076</v>
      </c>
      <c r="B296" s="10" t="n">
        <f aca="false">Cleaned_Prepared_Data!B296</f>
        <v>45748</v>
      </c>
      <c r="C296" s="9" t="str">
        <f aca="false">Cleaned_Prepared_Data!C296</f>
        <v>North</v>
      </c>
      <c r="D296" s="9" t="str">
        <f aca="false">Cleaned_Prepared_Data!D296</f>
        <v>Mall</v>
      </c>
      <c r="E296" s="9" t="n">
        <f aca="false">Cleaned_Prepared_Data!M296</f>
        <v>780580.95</v>
      </c>
      <c r="F296" s="22" t="n">
        <f aca="false">Multiple_Regression!$B$6+Multiple_Regression!$B$7*Cleaned_Prepared_Data!F296+Multiple_Regression!$B$8*Cleaned_Prepared_Data!E296+Multiple_Regression!$B$9*Cleaned_Prepared_Data!I296+Multiple_Regression!$B$10*Cleaned_Prepared_Data!H296+Multiple_Regression!$B$11*Cleaned_Prepared_Data!G296+Multiple_Regression!$B$12*Dummy_Variables!D296+Multiple_Regression!$B$13*Dummy_Variables!E296+Multiple_Regression!$B$14*Dummy_Variables!F296</f>
        <v>724606.750377311</v>
      </c>
      <c r="G296" s="22" t="n">
        <f aca="false">E296-F296</f>
        <v>55974.1996226887</v>
      </c>
    </row>
    <row r="297" customFormat="false" ht="15" hidden="false" customHeight="true" outlineLevel="0" collapsed="false">
      <c r="A297" s="9" t="str">
        <f aca="false">Cleaned_Prepared_Data!A297</f>
        <v>STR-1077</v>
      </c>
      <c r="B297" s="10" t="n">
        <f aca="false">Cleaned_Prepared_Data!B297</f>
        <v>45658</v>
      </c>
      <c r="C297" s="9" t="str">
        <f aca="false">Cleaned_Prepared_Data!C297</f>
        <v>South</v>
      </c>
      <c r="D297" s="9" t="str">
        <f aca="false">Cleaned_Prepared_Data!D297</f>
        <v>Residential</v>
      </c>
      <c r="E297" s="9" t="n">
        <f aca="false">Cleaned_Prepared_Data!M297</f>
        <v>727957.48</v>
      </c>
      <c r="F297" s="22" t="n">
        <f aca="false">Multiple_Regression!$B$6+Multiple_Regression!$B$7*Cleaned_Prepared_Data!F297+Multiple_Regression!$B$8*Cleaned_Prepared_Data!E297+Multiple_Regression!$B$9*Cleaned_Prepared_Data!I297+Multiple_Regression!$B$10*Cleaned_Prepared_Data!H297+Multiple_Regression!$B$11*Cleaned_Prepared_Data!G297+Multiple_Regression!$B$12*Dummy_Variables!D297+Multiple_Regression!$B$13*Dummy_Variables!E297+Multiple_Regression!$B$14*Dummy_Variables!F297</f>
        <v>671482.757882576</v>
      </c>
      <c r="G297" s="22" t="n">
        <f aca="false">E297-F297</f>
        <v>56474.7221174241</v>
      </c>
    </row>
    <row r="298" customFormat="false" ht="15" hidden="false" customHeight="true" outlineLevel="0" collapsed="false">
      <c r="A298" s="9" t="str">
        <f aca="false">Cleaned_Prepared_Data!A298</f>
        <v>STR-1077</v>
      </c>
      <c r="B298" s="10" t="n">
        <f aca="false">Cleaned_Prepared_Data!B298</f>
        <v>45689</v>
      </c>
      <c r="C298" s="9" t="str">
        <f aca="false">Cleaned_Prepared_Data!C298</f>
        <v>South</v>
      </c>
      <c r="D298" s="9" t="str">
        <f aca="false">Cleaned_Prepared_Data!D298</f>
        <v>Residential</v>
      </c>
      <c r="E298" s="9" t="n">
        <f aca="false">Cleaned_Prepared_Data!M298</f>
        <v>538376</v>
      </c>
      <c r="F298" s="22" t="n">
        <f aca="false">Multiple_Regression!$B$6+Multiple_Regression!$B$7*Cleaned_Prepared_Data!F298+Multiple_Regression!$B$8*Cleaned_Prepared_Data!E298+Multiple_Regression!$B$9*Cleaned_Prepared_Data!I298+Multiple_Regression!$B$10*Cleaned_Prepared_Data!H298+Multiple_Regression!$B$11*Cleaned_Prepared_Data!G298+Multiple_Regression!$B$12*Dummy_Variables!D298+Multiple_Regression!$B$13*Dummy_Variables!E298+Multiple_Regression!$B$14*Dummy_Variables!F298</f>
        <v>631864.43759672</v>
      </c>
      <c r="G298" s="22" t="n">
        <f aca="false">E298-F298</f>
        <v>-93488.4375967204</v>
      </c>
    </row>
    <row r="299" customFormat="false" ht="15" hidden="false" customHeight="true" outlineLevel="0" collapsed="false">
      <c r="A299" s="9" t="str">
        <f aca="false">Cleaned_Prepared_Data!A299</f>
        <v>STR-1077</v>
      </c>
      <c r="B299" s="10" t="n">
        <f aca="false">Cleaned_Prepared_Data!B299</f>
        <v>45717</v>
      </c>
      <c r="C299" s="9" t="str">
        <f aca="false">Cleaned_Prepared_Data!C299</f>
        <v>South</v>
      </c>
      <c r="D299" s="9" t="str">
        <f aca="false">Cleaned_Prepared_Data!D299</f>
        <v>Residential</v>
      </c>
      <c r="E299" s="9" t="n">
        <f aca="false">Cleaned_Prepared_Data!M299</f>
        <v>665342.49</v>
      </c>
      <c r="F299" s="22" t="n">
        <f aca="false">Multiple_Regression!$B$6+Multiple_Regression!$B$7*Cleaned_Prepared_Data!F299+Multiple_Regression!$B$8*Cleaned_Prepared_Data!E299+Multiple_Regression!$B$9*Cleaned_Prepared_Data!I299+Multiple_Regression!$B$10*Cleaned_Prepared_Data!H299+Multiple_Regression!$B$11*Cleaned_Prepared_Data!G299+Multiple_Regression!$B$12*Dummy_Variables!D299+Multiple_Regression!$B$13*Dummy_Variables!E299+Multiple_Regression!$B$14*Dummy_Variables!F299</f>
        <v>604908.633166457</v>
      </c>
      <c r="G299" s="22" t="n">
        <f aca="false">E299-F299</f>
        <v>60433.8568335426</v>
      </c>
    </row>
    <row r="300" customFormat="false" ht="15" hidden="false" customHeight="true" outlineLevel="0" collapsed="false">
      <c r="A300" s="9" t="str">
        <f aca="false">Cleaned_Prepared_Data!A300</f>
        <v>STR-1077</v>
      </c>
      <c r="B300" s="10" t="n">
        <f aca="false">Cleaned_Prepared_Data!B300</f>
        <v>45748</v>
      </c>
      <c r="C300" s="9" t="str">
        <f aca="false">Cleaned_Prepared_Data!C300</f>
        <v>South</v>
      </c>
      <c r="D300" s="9" t="str">
        <f aca="false">Cleaned_Prepared_Data!D300</f>
        <v>Residential</v>
      </c>
      <c r="E300" s="9" t="n">
        <f aca="false">Cleaned_Prepared_Data!M300</f>
        <v>651164.18</v>
      </c>
      <c r="F300" s="22" t="n">
        <f aca="false">Multiple_Regression!$B$6+Multiple_Regression!$B$7*Cleaned_Prepared_Data!F300+Multiple_Regression!$B$8*Cleaned_Prepared_Data!E300+Multiple_Regression!$B$9*Cleaned_Prepared_Data!I300+Multiple_Regression!$B$10*Cleaned_Prepared_Data!H300+Multiple_Regression!$B$11*Cleaned_Prepared_Data!G300+Multiple_Regression!$B$12*Dummy_Variables!D300+Multiple_Regression!$B$13*Dummy_Variables!E300+Multiple_Regression!$B$14*Dummy_Variables!F300</f>
        <v>698658.140655019</v>
      </c>
      <c r="G300" s="22" t="n">
        <f aca="false">E300-F300</f>
        <v>-47493.9606550189</v>
      </c>
    </row>
    <row r="301" customFormat="false" ht="15" hidden="false" customHeight="true" outlineLevel="0" collapsed="false">
      <c r="A301" s="9" t="str">
        <f aca="false">Cleaned_Prepared_Data!A301</f>
        <v>STR-1078</v>
      </c>
      <c r="B301" s="10" t="n">
        <f aca="false">Cleaned_Prepared_Data!B301</f>
        <v>45658</v>
      </c>
      <c r="C301" s="9" t="str">
        <f aca="false">Cleaned_Prepared_Data!C301</f>
        <v>South</v>
      </c>
      <c r="D301" s="9" t="str">
        <f aca="false">Cleaned_Prepared_Data!D301</f>
        <v>High Street</v>
      </c>
      <c r="E301" s="9" t="n">
        <f aca="false">Cleaned_Prepared_Data!M301</f>
        <v>628538.3</v>
      </c>
      <c r="F301" s="22" t="n">
        <f aca="false">Multiple_Regression!$B$6+Multiple_Regression!$B$7*Cleaned_Prepared_Data!F301+Multiple_Regression!$B$8*Cleaned_Prepared_Data!E301+Multiple_Regression!$B$9*Cleaned_Prepared_Data!I301+Multiple_Regression!$B$10*Cleaned_Prepared_Data!H301+Multiple_Regression!$B$11*Cleaned_Prepared_Data!G301+Multiple_Regression!$B$12*Dummy_Variables!D301+Multiple_Regression!$B$13*Dummy_Variables!E301+Multiple_Regression!$B$14*Dummy_Variables!F301</f>
        <v>635895.815032746</v>
      </c>
      <c r="G301" s="22" t="n">
        <f aca="false">E301-F301</f>
        <v>-7357.51503274567</v>
      </c>
    </row>
    <row r="302" customFormat="false" ht="15" hidden="false" customHeight="true" outlineLevel="0" collapsed="false">
      <c r="A302" s="9" t="str">
        <f aca="false">Cleaned_Prepared_Data!A302</f>
        <v>STR-1078</v>
      </c>
      <c r="B302" s="10" t="n">
        <f aca="false">Cleaned_Prepared_Data!B302</f>
        <v>45689</v>
      </c>
      <c r="C302" s="9" t="str">
        <f aca="false">Cleaned_Prepared_Data!C302</f>
        <v>South</v>
      </c>
      <c r="D302" s="9" t="str">
        <f aca="false">Cleaned_Prepared_Data!D302</f>
        <v>High Street</v>
      </c>
      <c r="E302" s="9" t="n">
        <f aca="false">Cleaned_Prepared_Data!M302</f>
        <v>536524.84</v>
      </c>
      <c r="F302" s="22" t="n">
        <f aca="false">Multiple_Regression!$B$6+Multiple_Regression!$B$7*Cleaned_Prepared_Data!F302+Multiple_Regression!$B$8*Cleaned_Prepared_Data!E302+Multiple_Regression!$B$9*Cleaned_Prepared_Data!I302+Multiple_Regression!$B$10*Cleaned_Prepared_Data!H302+Multiple_Regression!$B$11*Cleaned_Prepared_Data!G302+Multiple_Regression!$B$12*Dummy_Variables!D302+Multiple_Regression!$B$13*Dummy_Variables!E302+Multiple_Regression!$B$14*Dummy_Variables!F302</f>
        <v>573444.073330019</v>
      </c>
      <c r="G302" s="22" t="n">
        <f aca="false">E302-F302</f>
        <v>-36919.2333300192</v>
      </c>
    </row>
    <row r="303" customFormat="false" ht="15" hidden="false" customHeight="true" outlineLevel="0" collapsed="false">
      <c r="A303" s="9" t="str">
        <f aca="false">Cleaned_Prepared_Data!A303</f>
        <v>STR-1078</v>
      </c>
      <c r="B303" s="10" t="n">
        <f aca="false">Cleaned_Prepared_Data!B303</f>
        <v>45717</v>
      </c>
      <c r="C303" s="9" t="str">
        <f aca="false">Cleaned_Prepared_Data!C303</f>
        <v>South</v>
      </c>
      <c r="D303" s="9" t="str">
        <f aca="false">Cleaned_Prepared_Data!D303</f>
        <v>High Street</v>
      </c>
      <c r="E303" s="9" t="n">
        <f aca="false">Cleaned_Prepared_Data!M303</f>
        <v>621677.3</v>
      </c>
      <c r="F303" s="22" t="n">
        <f aca="false">Multiple_Regression!$B$6+Multiple_Regression!$B$7*Cleaned_Prepared_Data!F303+Multiple_Regression!$B$8*Cleaned_Prepared_Data!E303+Multiple_Regression!$B$9*Cleaned_Prepared_Data!I303+Multiple_Regression!$B$10*Cleaned_Prepared_Data!H303+Multiple_Regression!$B$11*Cleaned_Prepared_Data!G303+Multiple_Regression!$B$12*Dummy_Variables!D303+Multiple_Regression!$B$13*Dummy_Variables!E303+Multiple_Regression!$B$14*Dummy_Variables!F303</f>
        <v>625479.757387228</v>
      </c>
      <c r="G303" s="22" t="n">
        <f aca="false">E303-F303</f>
        <v>-3802.45738722826</v>
      </c>
    </row>
    <row r="304" customFormat="false" ht="15" hidden="false" customHeight="true" outlineLevel="0" collapsed="false">
      <c r="A304" s="9" t="str">
        <f aca="false">Cleaned_Prepared_Data!A304</f>
        <v>STR-1079</v>
      </c>
      <c r="B304" s="10" t="n">
        <f aca="false">Cleaned_Prepared_Data!B304</f>
        <v>45658</v>
      </c>
      <c r="C304" s="9" t="str">
        <f aca="false">Cleaned_Prepared_Data!C304</f>
        <v>North</v>
      </c>
      <c r="D304" s="9" t="str">
        <f aca="false">Cleaned_Prepared_Data!D304</f>
        <v>Residential</v>
      </c>
      <c r="E304" s="9" t="n">
        <f aca="false">Cleaned_Prepared_Data!M304</f>
        <v>702052.47</v>
      </c>
      <c r="F304" s="22" t="n">
        <f aca="false">Multiple_Regression!$B$6+Multiple_Regression!$B$7*Cleaned_Prepared_Data!F304+Multiple_Regression!$B$8*Cleaned_Prepared_Data!E304+Multiple_Regression!$B$9*Cleaned_Prepared_Data!I304+Multiple_Regression!$B$10*Cleaned_Prepared_Data!H304+Multiple_Regression!$B$11*Cleaned_Prepared_Data!G304+Multiple_Regression!$B$12*Dummy_Variables!D304+Multiple_Regression!$B$13*Dummy_Variables!E304+Multiple_Regression!$B$14*Dummy_Variables!F304</f>
        <v>677456.92667114</v>
      </c>
      <c r="G304" s="22" t="n">
        <f aca="false">E304-F304</f>
        <v>24595.5433288598</v>
      </c>
    </row>
    <row r="305" customFormat="false" ht="15" hidden="false" customHeight="true" outlineLevel="0" collapsed="false">
      <c r="A305" s="9" t="str">
        <f aca="false">Cleaned_Prepared_Data!A305</f>
        <v>STR-1079</v>
      </c>
      <c r="B305" s="10" t="n">
        <f aca="false">Cleaned_Prepared_Data!B305</f>
        <v>45717</v>
      </c>
      <c r="C305" s="9" t="str">
        <f aca="false">Cleaned_Prepared_Data!C305</f>
        <v>North</v>
      </c>
      <c r="D305" s="9" t="str">
        <f aca="false">Cleaned_Prepared_Data!D305</f>
        <v>Residential</v>
      </c>
      <c r="E305" s="9" t="n">
        <f aca="false">Cleaned_Prepared_Data!M305</f>
        <v>712375.77</v>
      </c>
      <c r="F305" s="22" t="n">
        <f aca="false">Multiple_Regression!$B$6+Multiple_Regression!$B$7*Cleaned_Prepared_Data!F305+Multiple_Regression!$B$8*Cleaned_Prepared_Data!E305+Multiple_Regression!$B$9*Cleaned_Prepared_Data!I305+Multiple_Regression!$B$10*Cleaned_Prepared_Data!H305+Multiple_Regression!$B$11*Cleaned_Prepared_Data!G305+Multiple_Regression!$B$12*Dummy_Variables!D305+Multiple_Regression!$B$13*Dummy_Variables!E305+Multiple_Regression!$B$14*Dummy_Variables!F305</f>
        <v>680675.068942142</v>
      </c>
      <c r="G305" s="22" t="n">
        <f aca="false">E305-F305</f>
        <v>31700.7010578578</v>
      </c>
    </row>
    <row r="306" customFormat="false" ht="15" hidden="false" customHeight="true" outlineLevel="0" collapsed="false">
      <c r="A306" s="9" t="str">
        <f aca="false">Cleaned_Prepared_Data!A306</f>
        <v>STR-1079</v>
      </c>
      <c r="B306" s="10" t="n">
        <f aca="false">Cleaned_Prepared_Data!B306</f>
        <v>45748</v>
      </c>
      <c r="C306" s="9" t="str">
        <f aca="false">Cleaned_Prepared_Data!C306</f>
        <v>North</v>
      </c>
      <c r="D306" s="9" t="str">
        <f aca="false">Cleaned_Prepared_Data!D306</f>
        <v>Residential</v>
      </c>
      <c r="E306" s="9" t="n">
        <f aca="false">Cleaned_Prepared_Data!M306</f>
        <v>844710.67</v>
      </c>
      <c r="F306" s="22" t="n">
        <f aca="false">Multiple_Regression!$B$6+Multiple_Regression!$B$7*Cleaned_Prepared_Data!F306+Multiple_Regression!$B$8*Cleaned_Prepared_Data!E306+Multiple_Regression!$B$9*Cleaned_Prepared_Data!I306+Multiple_Regression!$B$10*Cleaned_Prepared_Data!H306+Multiple_Regression!$B$11*Cleaned_Prepared_Data!G306+Multiple_Regression!$B$12*Dummy_Variables!D306+Multiple_Regression!$B$13*Dummy_Variables!E306+Multiple_Regression!$B$14*Dummy_Variables!F306</f>
        <v>804584.921719978</v>
      </c>
      <c r="G306" s="22" t="n">
        <f aca="false">E306-F306</f>
        <v>40125.7482800224</v>
      </c>
    </row>
    <row r="307" customFormat="false" ht="15" hidden="false" customHeight="true" outlineLevel="0" collapsed="false">
      <c r="A307" s="9" t="str">
        <f aca="false">Cleaned_Prepared_Data!A307</f>
        <v>STR-1080</v>
      </c>
      <c r="B307" s="10" t="n">
        <f aca="false">Cleaned_Prepared_Data!B307</f>
        <v>45658</v>
      </c>
      <c r="C307" s="9" t="str">
        <f aca="false">Cleaned_Prepared_Data!C307</f>
        <v>East</v>
      </c>
      <c r="D307" s="9" t="str">
        <f aca="false">Cleaned_Prepared_Data!D307</f>
        <v>Residential</v>
      </c>
      <c r="E307" s="9" t="n">
        <f aca="false">Cleaned_Prepared_Data!M307</f>
        <v>620264.2</v>
      </c>
      <c r="F307" s="22" t="n">
        <f aca="false">Multiple_Regression!$B$6+Multiple_Regression!$B$7*Cleaned_Prepared_Data!F307+Multiple_Regression!$B$8*Cleaned_Prepared_Data!E307+Multiple_Regression!$B$9*Cleaned_Prepared_Data!I307+Multiple_Regression!$B$10*Cleaned_Prepared_Data!H307+Multiple_Regression!$B$11*Cleaned_Prepared_Data!G307+Multiple_Regression!$B$12*Dummy_Variables!D307+Multiple_Regression!$B$13*Dummy_Variables!E307+Multiple_Regression!$B$14*Dummy_Variables!F307</f>
        <v>669267.246422418</v>
      </c>
      <c r="G307" s="22" t="n">
        <f aca="false">E307-F307</f>
        <v>-49003.046422418</v>
      </c>
    </row>
    <row r="308" customFormat="false" ht="15" hidden="false" customHeight="true" outlineLevel="0" collapsed="false">
      <c r="A308" s="9" t="str">
        <f aca="false">Cleaned_Prepared_Data!A308</f>
        <v>STR-1080</v>
      </c>
      <c r="B308" s="10" t="n">
        <f aca="false">Cleaned_Prepared_Data!B308</f>
        <v>45689</v>
      </c>
      <c r="C308" s="9" t="str">
        <f aca="false">Cleaned_Prepared_Data!C308</f>
        <v>East</v>
      </c>
      <c r="D308" s="9" t="str">
        <f aca="false">Cleaned_Prepared_Data!D308</f>
        <v>Residential</v>
      </c>
      <c r="E308" s="9" t="n">
        <f aca="false">Cleaned_Prepared_Data!M308</f>
        <v>536845.42</v>
      </c>
      <c r="F308" s="22" t="n">
        <f aca="false">Multiple_Regression!$B$6+Multiple_Regression!$B$7*Cleaned_Prepared_Data!F308+Multiple_Regression!$B$8*Cleaned_Prepared_Data!E308+Multiple_Regression!$B$9*Cleaned_Prepared_Data!I308+Multiple_Regression!$B$10*Cleaned_Prepared_Data!H308+Multiple_Regression!$B$11*Cleaned_Prepared_Data!G308+Multiple_Regression!$B$12*Dummy_Variables!D308+Multiple_Regression!$B$13*Dummy_Variables!E308+Multiple_Regression!$B$14*Dummy_Variables!F308</f>
        <v>531594.366468666</v>
      </c>
      <c r="G308" s="22" t="n">
        <f aca="false">E308-F308</f>
        <v>5251.05353133439</v>
      </c>
    </row>
    <row r="309" customFormat="false" ht="15" hidden="false" customHeight="true" outlineLevel="0" collapsed="false">
      <c r="A309" s="9" t="str">
        <f aca="false">Cleaned_Prepared_Data!A309</f>
        <v>STR-1080</v>
      </c>
      <c r="B309" s="10" t="n">
        <f aca="false">Cleaned_Prepared_Data!B309</f>
        <v>45717</v>
      </c>
      <c r="C309" s="9" t="str">
        <f aca="false">Cleaned_Prepared_Data!C309</f>
        <v>East</v>
      </c>
      <c r="D309" s="9" t="str">
        <f aca="false">Cleaned_Prepared_Data!D309</f>
        <v>Residential</v>
      </c>
      <c r="E309" s="9" t="n">
        <f aca="false">Cleaned_Prepared_Data!M309</f>
        <v>726776.22</v>
      </c>
      <c r="F309" s="22" t="n">
        <f aca="false">Multiple_Regression!$B$6+Multiple_Regression!$B$7*Cleaned_Prepared_Data!F309+Multiple_Regression!$B$8*Cleaned_Prepared_Data!E309+Multiple_Regression!$B$9*Cleaned_Prepared_Data!I309+Multiple_Regression!$B$10*Cleaned_Prepared_Data!H309+Multiple_Regression!$B$11*Cleaned_Prepared_Data!G309+Multiple_Regression!$B$12*Dummy_Variables!D309+Multiple_Regression!$B$13*Dummy_Variables!E309+Multiple_Regression!$B$14*Dummy_Variables!F309</f>
        <v>725934.92018465</v>
      </c>
      <c r="G309" s="22" t="n">
        <f aca="false">E309-F309</f>
        <v>841.29981534963</v>
      </c>
    </row>
    <row r="310" customFormat="false" ht="15" hidden="false" customHeight="true" outlineLevel="0" collapsed="false">
      <c r="A310" s="9" t="str">
        <f aca="false">Cleaned_Prepared_Data!A310</f>
        <v>STR-1080</v>
      </c>
      <c r="B310" s="10" t="n">
        <f aca="false">Cleaned_Prepared_Data!B310</f>
        <v>45748</v>
      </c>
      <c r="C310" s="9" t="str">
        <f aca="false">Cleaned_Prepared_Data!C310</f>
        <v>East</v>
      </c>
      <c r="D310" s="9" t="str">
        <f aca="false">Cleaned_Prepared_Data!D310</f>
        <v>Residential</v>
      </c>
      <c r="E310" s="9" t="n">
        <f aca="false">Cleaned_Prepared_Data!M310</f>
        <v>559660.84</v>
      </c>
      <c r="F310" s="22" t="n">
        <f aca="false">Multiple_Regression!$B$6+Multiple_Regression!$B$7*Cleaned_Prepared_Data!F310+Multiple_Regression!$B$8*Cleaned_Prepared_Data!E310+Multiple_Regression!$B$9*Cleaned_Prepared_Data!I310+Multiple_Regression!$B$10*Cleaned_Prepared_Data!H310+Multiple_Regression!$B$11*Cleaned_Prepared_Data!G310+Multiple_Regression!$B$12*Dummy_Variables!D310+Multiple_Regression!$B$13*Dummy_Variables!E310+Multiple_Regression!$B$14*Dummy_Variables!F310</f>
        <v>599878.588697054</v>
      </c>
      <c r="G310" s="22" t="n">
        <f aca="false">E310-F310</f>
        <v>-40217.7486970542</v>
      </c>
    </row>
  </sheetData>
  <mergeCells count="4">
    <mergeCell ref="A1:L1"/>
    <mergeCell ref="A2:L2"/>
    <mergeCell ref="J4:M4"/>
    <mergeCell ref="J12:M12"/>
  </mergeCells>
  <conditionalFormatting sqref="G5:G310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36"/>
    <col collapsed="false" customWidth="true" hidden="false" outlineLevel="0" max="4" min="4" style="1" width="11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42"/>
  </cols>
  <sheetData>
    <row r="1" customFormat="false" ht="15.75" hidden="false" customHeight="true" outlineLevel="0" collapsed="false">
      <c r="A1" s="11" t="s">
        <v>163</v>
      </c>
      <c r="B1" s="11"/>
      <c r="C1" s="11"/>
      <c r="D1" s="11"/>
      <c r="E1" s="11"/>
      <c r="F1" s="11"/>
      <c r="G1" s="11"/>
    </row>
    <row r="3" customFormat="false" ht="30" hidden="false" customHeight="true" outlineLevel="0" collapsed="false">
      <c r="A3" s="27" t="s">
        <v>164</v>
      </c>
      <c r="B3" s="27" t="s">
        <v>165</v>
      </c>
      <c r="C3" s="27" t="s">
        <v>166</v>
      </c>
      <c r="D3" s="27" t="s">
        <v>124</v>
      </c>
      <c r="E3" s="27" t="s">
        <v>167</v>
      </c>
      <c r="F3" s="27" t="s">
        <v>168</v>
      </c>
      <c r="G3" s="27" t="s">
        <v>169</v>
      </c>
    </row>
    <row r="4" customFormat="false" ht="45" hidden="false" customHeight="true" outlineLevel="0" collapsed="false">
      <c r="A4" s="28" t="s">
        <v>170</v>
      </c>
      <c r="B4" s="29" t="s">
        <v>171</v>
      </c>
      <c r="C4" s="29" t="s">
        <v>5</v>
      </c>
      <c r="D4" s="30" t="n">
        <f aca="false">Simple_Regression!B6</f>
        <v>0.157426461245437</v>
      </c>
      <c r="E4" s="29" t="n">
        <f aca="false">Simple_Regression!B10</f>
        <v>5.5808922954177E-013</v>
      </c>
      <c r="F4" s="29" t="str">
        <f aca="false">IF(E4&lt;0.05,"Yes (p&lt;0.05)","No")</f>
        <v>Yes (p&lt;0.05)</v>
      </c>
      <c r="G4" s="29" t="s">
        <v>172</v>
      </c>
    </row>
    <row r="5" customFormat="false" ht="45" hidden="false" customHeight="true" outlineLevel="0" collapsed="false">
      <c r="A5" s="28" t="s">
        <v>173</v>
      </c>
      <c r="B5" s="29" t="s">
        <v>171</v>
      </c>
      <c r="C5" s="29" t="s">
        <v>6</v>
      </c>
      <c r="D5" s="30" t="n">
        <f aca="false">Simple_Regression!B17</f>
        <v>0.73484316730369</v>
      </c>
      <c r="E5" s="29" t="n">
        <f aca="false">Simple_Regression!B21</f>
        <v>1.25593514573701E-089</v>
      </c>
      <c r="F5" s="29" t="str">
        <f aca="false">IF(E5&lt;0.05,"Yes (p&lt;0.05)","No")</f>
        <v>Yes (p&lt;0.05)</v>
      </c>
      <c r="G5" s="29" t="s">
        <v>174</v>
      </c>
    </row>
    <row r="6" customFormat="false" ht="45" hidden="false" customHeight="true" outlineLevel="0" collapsed="false">
      <c r="A6" s="28" t="s">
        <v>175</v>
      </c>
      <c r="B6" s="29" t="s">
        <v>171</v>
      </c>
      <c r="C6" s="29" t="s">
        <v>7</v>
      </c>
      <c r="D6" s="30" t="n">
        <f aca="false">Simple_Regression!B28</f>
        <v>0.00574303545688321</v>
      </c>
      <c r="E6" s="29" t="n">
        <f aca="false">Simple_Regression!B32</f>
        <v>0.186123403455263</v>
      </c>
      <c r="F6" s="29" t="str">
        <f aca="false">IF(E6&lt;0.05,"Yes (p&lt;0.05)","No")</f>
        <v>No</v>
      </c>
      <c r="G6" s="29" t="s">
        <v>176</v>
      </c>
    </row>
    <row r="7" customFormat="false" ht="45" hidden="false" customHeight="true" outlineLevel="0" collapsed="false">
      <c r="A7" s="28" t="s">
        <v>177</v>
      </c>
      <c r="B7" s="29" t="s">
        <v>178</v>
      </c>
      <c r="C7" s="29" t="s">
        <v>179</v>
      </c>
      <c r="D7" s="30" t="n">
        <f aca="false">Multiple_Regression!B16</f>
        <v>0.818526796932918</v>
      </c>
      <c r="E7" s="29" t="str">
        <f aca="false">Multiple_Regression!B7 &amp; ", " &amp; Multiple_Regression!B8 &amp; ", " &amp; Multiple_Regression!B9</f>
        <v>28.7855980517642, 1.14957266896365, 2856.87163294988</v>
      </c>
      <c r="F7" s="29" t="s">
        <v>180</v>
      </c>
      <c r="G7" s="29" t="s">
        <v>181</v>
      </c>
    </row>
    <row r="9" customFormat="false" ht="15" hidden="false" customHeight="true" outlineLevel="0" collapsed="false">
      <c r="A9" s="7" t="s">
        <v>182</v>
      </c>
    </row>
    <row r="10" customFormat="false" ht="15" hidden="false" customHeight="true" outlineLevel="0" collapsed="false">
      <c r="A10" s="4" t="s">
        <v>183</v>
      </c>
      <c r="B10" s="31" t="n">
        <f aca="false">Simple_Regression!B6</f>
        <v>0.157426461245437</v>
      </c>
    </row>
    <row r="11" customFormat="false" ht="15" hidden="false" customHeight="true" outlineLevel="0" collapsed="false">
      <c r="A11" s="4" t="s">
        <v>184</v>
      </c>
      <c r="B11" s="31" t="n">
        <f aca="false">Simple_Regression!B17</f>
        <v>0.73484316730369</v>
      </c>
    </row>
    <row r="12" customFormat="false" ht="15" hidden="false" customHeight="true" outlineLevel="0" collapsed="false">
      <c r="A12" s="4" t="s">
        <v>185</v>
      </c>
      <c r="B12" s="31" t="n">
        <f aca="false">Simple_Regression!B28</f>
        <v>0.00574303545688321</v>
      </c>
    </row>
    <row r="13" customFormat="false" ht="15" hidden="false" customHeight="true" outlineLevel="0" collapsed="false">
      <c r="A13" s="4" t="s">
        <v>186</v>
      </c>
      <c r="B13" s="31" t="n">
        <f aca="false">Multiple_Regression!B16</f>
        <v>0.818526796932918</v>
      </c>
    </row>
    <row r="15" customFormat="false" ht="30" hidden="false" customHeight="true" outlineLevel="0" collapsed="false">
      <c r="A15" s="6" t="s">
        <v>187</v>
      </c>
      <c r="B15" s="6"/>
      <c r="C15" s="6"/>
      <c r="D15" s="6"/>
      <c r="E15" s="6"/>
      <c r="F15" s="6"/>
      <c r="G15" s="6"/>
    </row>
  </sheetData>
  <mergeCells count="2">
    <mergeCell ref="A1:G1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2026-06-28T12:07:34Z</dcterms:created>
  <dc:creator>openpyxl</dc:creator>
  <dc:description/>
  <dc:language>en-US</dc:language>
  <cp:lastModifiedBy/>
  <dcterms:modified xsi:type="dcterms:W3CDTF">2026-06-28T12:28:44Z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